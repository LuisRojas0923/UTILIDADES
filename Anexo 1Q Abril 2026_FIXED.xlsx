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3\Nomina\REVISION NOMINA\MINUTA\FACTURAS\MULTIEMPLEOS\"/>
    </mc:Choice>
  </mc:AlternateContent>
  <xr:revisionPtr revIDLastSave="0" documentId="13_ncr:1_{37F5CF7C-5008-4980-825B-C853F17288EA}" xr6:coauthVersionLast="47" xr6:coauthVersionMax="47" xr10:uidLastSave="{00000000-0000-0000-0000-000000000000}"/>
  <bookViews>
    <workbookView xWindow="-120" yWindow="-120" windowWidth="29040" windowHeight="15720" tabRatio="529" xr2:uid="{00000000-000D-0000-FFFF-FFFF00000000}"/>
  </bookViews>
  <sheets>
    <sheet name="Informe General" sheetId="1" r:id="rId1"/>
  </sheets>
  <definedNames>
    <definedName name="_xlnm._FilterDatabase" localSheetId="0" hidden="1">'Informe General'!$A$5:$CV$24</definedName>
    <definedName name="_xlnm.Database" localSheetId="0">#REF!</definedName>
    <definedName name="_xlnm.Database">#REF!</definedName>
    <definedName name="DDD" localSheetId="0">#REF!</definedName>
    <definedName name="DDD">#REF!</definedName>
    <definedName name="LIQUIDACIONES" localSheetId="0">#REF!</definedName>
    <definedName name="LIQUIDACIONES">#REF!</definedName>
    <definedName name="NOMINA" localSheetId="0">#REF!</definedName>
    <definedName name="NOMI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<sst xmlns="http://schemas.openxmlformats.org/spreadsheetml/2006/main" count="1049027" uniqueCount="330">
  <si>
    <t>HORAS AUSENCIAS</t>
  </si>
  <si>
    <t>SUELDO ORDINARIO</t>
  </si>
  <si>
    <t>RETROACTIVO SALARIO</t>
  </si>
  <si>
    <t>RECARGO NOCTURNO</t>
  </si>
  <si>
    <t xml:space="preserve">HORA EXTRA DIURNA </t>
  </si>
  <si>
    <t>HORA EXTRA DIURNA FESTIVA</t>
  </si>
  <si>
    <t>HORA EXTRA NOCTURNA</t>
  </si>
  <si>
    <t>HORA EXTRA NOCTURNA FESTIVA</t>
  </si>
  <si>
    <t>RECARGO FESTIVO NOCTURNO</t>
  </si>
  <si>
    <t>HORA FESTIVA COMPENSADA</t>
  </si>
  <si>
    <t>SUBSIDIO DE TRANSPORTE</t>
  </si>
  <si>
    <t>INCAPACIDAD PAGADA POR LA EMPRESA</t>
  </si>
  <si>
    <t>MAYOR VALOR PAGO SUELDO</t>
  </si>
  <si>
    <t>INCAPACIDAD AT - EPS</t>
  </si>
  <si>
    <t>LICENCIA NO REMUNERADA</t>
  </si>
  <si>
    <t>AUSENCIA</t>
  </si>
  <si>
    <t>SANCION</t>
  </si>
  <si>
    <t>CONCEPTOS NO PRESTACIONALES</t>
  </si>
  <si>
    <t xml:space="preserve">TIPO </t>
  </si>
  <si>
    <t>NOMBRE</t>
  </si>
  <si>
    <t>CARGO</t>
  </si>
  <si>
    <t>FECHA ING</t>
  </si>
  <si>
    <t>FECHA RET</t>
  </si>
  <si>
    <t>% ARP</t>
  </si>
  <si>
    <t>HORAS</t>
  </si>
  <si>
    <t>VALOR</t>
  </si>
  <si>
    <t>TOTAL DEVENGOS</t>
  </si>
  <si>
    <t>BASE VACACIONES</t>
  </si>
  <si>
    <t>BASE SEG SOCIAL</t>
  </si>
  <si>
    <t>BASE ADMON</t>
  </si>
  <si>
    <t>TOTAL DEVENGOS FACTURADOS</t>
  </si>
  <si>
    <t>AJUSTE VACACIONES ULTIMO SALARIO</t>
  </si>
  <si>
    <t>TOTAL PRESTACIONES</t>
  </si>
  <si>
    <t>SENA</t>
  </si>
  <si>
    <t>ICBF</t>
  </si>
  <si>
    <t>TOTAL SEG SOC Y PARAF</t>
  </si>
  <si>
    <t>INTERESES PAGOS ADICIONALES</t>
  </si>
  <si>
    <t>COBRO 1 DIA SS</t>
  </si>
  <si>
    <t>BASE IVA LEY 1607 ART: 46</t>
  </si>
  <si>
    <t>BASE ADMON (INFORMATIVA)</t>
  </si>
  <si>
    <t>NETO FACTURA</t>
  </si>
  <si>
    <t>IBC MES ANTERIOR</t>
  </si>
  <si>
    <t>AJUSTE SEGURIDAD SOCIAL</t>
  </si>
  <si>
    <t>HORA FESTIVA DIURNA SIN COMPENSAR</t>
  </si>
  <si>
    <t>INCENTIVO SALARIAL</t>
  </si>
  <si>
    <t>NOMBRE CCOSTO</t>
  </si>
  <si>
    <t>BONIFICACION SALARIAL</t>
  </si>
  <si>
    <t xml:space="preserve">REFRIDCOL </t>
  </si>
  <si>
    <t>DESCUENTO CELULAR</t>
  </si>
  <si>
    <t>RETROACTIVO SUBSIDIO TRANSPORTE</t>
  </si>
  <si>
    <t>VACACIONES DÍAS NO HÁBILES</t>
  </si>
  <si>
    <t>VACACIONES DISFRUTADAS</t>
  </si>
  <si>
    <t>DESCUENTO EPS</t>
  </si>
  <si>
    <t>DESCUENTO AFP</t>
  </si>
  <si>
    <t>VALORES INFORMATIVOS</t>
  </si>
  <si>
    <t>AYUDANTE DE ARMADO</t>
  </si>
  <si>
    <t>TOTAL AUSENCIAS (LNR)</t>
  </si>
  <si>
    <t>INDUSTRIAS REFRIDCOL SA BOGOTA</t>
  </si>
  <si>
    <t>INDUSTRIAS REFRIDCOL SA</t>
  </si>
  <si>
    <t>Inteseses DE CESANTIAS</t>
  </si>
  <si>
    <t>TECNICO ELECTRICISTA</t>
  </si>
  <si>
    <t>HORA FESTIVA NOCTURNA SIN COMPENSAR</t>
  </si>
  <si>
    <t xml:space="preserve">RETROACTIVO SALARIO </t>
  </si>
  <si>
    <t>TECNICO REFIGERACION</t>
  </si>
  <si>
    <t>20251001</t>
  </si>
  <si>
    <t>INGENIERO DE DISENO Y PRESUPUESTO JUNIOR</t>
  </si>
  <si>
    <t>TECNICO EN REFRIGERACION</t>
  </si>
  <si>
    <t>REFRIDCOL MEDELLIN</t>
  </si>
  <si>
    <t>AYUDANTE DE REFRIGERACION</t>
  </si>
  <si>
    <t>HORA ADICIONAL</t>
  </si>
  <si>
    <t>MARTINEZ CHARRIS MANUEL DE JESUS</t>
  </si>
  <si>
    <t>MONTERROSA CONTRERAS DANNA PATRICIA</t>
  </si>
  <si>
    <t>SUPERVISOR SST</t>
  </si>
  <si>
    <t>20250708</t>
  </si>
  <si>
    <t>20260707</t>
  </si>
  <si>
    <t>20250703</t>
  </si>
  <si>
    <t>20260702</t>
  </si>
  <si>
    <t>GALINDEZ DELGADO YEISSON JADER</t>
  </si>
  <si>
    <t>20250717</t>
  </si>
  <si>
    <t>20260716</t>
  </si>
  <si>
    <t>MORALES MORENO HECTOR JOVAN</t>
  </si>
  <si>
    <t>20250814</t>
  </si>
  <si>
    <t>20260813</t>
  </si>
  <si>
    <t>JULIO CASTELLAR JHOJAN DAVID</t>
  </si>
  <si>
    <t>20250819</t>
  </si>
  <si>
    <t>20260818</t>
  </si>
  <si>
    <t>CARVAJAL JIMENEZ JOHN JAIRO</t>
  </si>
  <si>
    <t>DELGADO BLANCO OSWALDO</t>
  </si>
  <si>
    <t>QUINTERO GALVEZ JOHN FREDDY</t>
  </si>
  <si>
    <t>20250916</t>
  </si>
  <si>
    <t>20250911</t>
  </si>
  <si>
    <t>20260910</t>
  </si>
  <si>
    <t>PLANTA</t>
  </si>
  <si>
    <t>AUXILIAR ADMINISTRATIVA</t>
  </si>
  <si>
    <t>MARIN OSORIO ALEX BERNARDO</t>
  </si>
  <si>
    <t>PROSTINI ANDRADE ANDERSON</t>
  </si>
  <si>
    <t>20260915</t>
  </si>
  <si>
    <t>20250925</t>
  </si>
  <si>
    <t>20260924</t>
  </si>
  <si>
    <t>CALVO VASQUEZ JOSE JORGE</t>
  </si>
  <si>
    <t>20250929</t>
  </si>
  <si>
    <t>20260928</t>
  </si>
  <si>
    <t>PEDRAZA RINCON VALERIA</t>
  </si>
  <si>
    <t>PAZ BATIOJA DIEGO ARMANDO</t>
  </si>
  <si>
    <t>20251007</t>
  </si>
  <si>
    <t>20261006</t>
  </si>
  <si>
    <t>20260929</t>
  </si>
  <si>
    <t>GARCES GARCIA VICTOR ALFONSO</t>
  </si>
  <si>
    <t>20251027</t>
  </si>
  <si>
    <t>20261026</t>
  </si>
  <si>
    <t>LICENCIA REMUNERADA / LICENCIA POR LUTO / DIA DE LA FAMILIA</t>
  </si>
  <si>
    <t>DE LAS CRISTIAN DAVID</t>
  </si>
  <si>
    <t>20260120</t>
  </si>
  <si>
    <t>20270119</t>
  </si>
  <si>
    <t>RODRIGUEZ TELLEZ OSCAR JAVIER</t>
  </si>
  <si>
    <t>AYUDANTE</t>
  </si>
  <si>
    <t>VELEZ NUNEZ HORACIO ANDRES</t>
  </si>
  <si>
    <t>20260330</t>
  </si>
  <si>
    <t>20270329</t>
  </si>
  <si>
    <t>20260317</t>
  </si>
  <si>
    <t>CORREA SARABIA MARIA ISABEL</t>
  </si>
  <si>
    <t>20260329</t>
  </si>
  <si>
    <t>20260414</t>
  </si>
  <si>
    <t>20270413</t>
  </si>
  <si>
    <t>1Q ABRIL 2026</t>
  </si>
  <si>
    <t>DESCUENTO EMPRESA</t>
  </si>
  <si>
    <t>CASTRO GORDILLO JOHN EDISON</t>
  </si>
  <si>
    <t>BOLAÑOS MORILLO KEVIN ENRIQUE</t>
  </si>
  <si>
    <t>RESTREPO CALDERON LEIDY MARCELA</t>
  </si>
  <si>
    <t>CASTAÑO MEJIA HAROLD</t>
  </si>
  <si>
    <t>RODRIGUEZ TELLEZ EDWAR GERMAN</t>
  </si>
  <si>
    <t>CASTAÑEDA RENGIFO RICHARD DANILO</t>
  </si>
  <si>
    <t>ESQUIVEL CONDE ALDO ANTONIO</t>
  </si>
  <si>
    <t>HERNANDEZ QUINTERO YOVANNY JOEL</t>
  </si>
  <si>
    <t>BOTTO ZAMORA DAIRO GREGORIO</t>
  </si>
  <si>
    <t>CASTRO YERSON DAVID</t>
  </si>
  <si>
    <t>DELGADO RAMIREZ ALBERT ALFREDO</t>
  </si>
  <si>
    <t>LOPEZ OCHOA DANY HORACIO</t>
  </si>
  <si>
    <t>DURANGO RAMIREZ JESUS DAVID</t>
  </si>
  <si>
    <t>TAPIAS CHAVARRIA LUZ MABELI</t>
  </si>
  <si>
    <t>GUIZA BENAVIDES JAINER</t>
  </si>
  <si>
    <t>VASQUEZ MOSQUERA ANDRES FELIPE</t>
  </si>
  <si>
    <t>MORENO CAPURRO KAROL VALENTINA</t>
  </si>
  <si>
    <t>ARBOLEDA MORENO SANDRA PATRICIA</t>
  </si>
  <si>
    <t>RODRIGUEZ HERNANDEZ LINI BIBIANA</t>
  </si>
  <si>
    <t>GOMEZ CARABALI NICOLLE</t>
  </si>
  <si>
    <t>LOZANO RAMIREZ PERCY</t>
  </si>
  <si>
    <t>TORRES CARDONA ISMAEL</t>
  </si>
  <si>
    <t>MENDOZA IPIA JEAN CARLO</t>
  </si>
  <si>
    <t>OSPINA MOLANO ALEXANDER</t>
  </si>
  <si>
    <t>RIVERA DOMINGUEZ SEBASTIAN</t>
  </si>
  <si>
    <t>SOTO MONTAÑO CAROL TATIANA</t>
  </si>
  <si>
    <t>LLANTEN MORA JARVI MAURICIO</t>
  </si>
  <si>
    <t>ANGULO SANCHEZ EYLIN DAYANA</t>
  </si>
  <si>
    <t>CUETIA VELASQUEZ MARLON JOSIAS</t>
  </si>
  <si>
    <t>MALAGON ARTUNDUAGA KEVYN</t>
  </si>
  <si>
    <t>ORTIZ LUIS ALBERTO</t>
  </si>
  <si>
    <t>DONNEYS GARCIA PHANOR LEANDRO</t>
  </si>
  <si>
    <t>SANCHEZ CARLOS JULIO</t>
  </si>
  <si>
    <t>DAGUA DAGUA MARLON JAVIER</t>
  </si>
  <si>
    <t>CISNERO SAITA ANGEL</t>
  </si>
  <si>
    <t>TROCHEZ ALVEAR ALAN DUVAN</t>
  </si>
  <si>
    <t>RODRIGUEZ JIMENEZ FABIAN ALBERTO</t>
  </si>
  <si>
    <t>QUIÑONES CORTES FIDEL ENRIQUE</t>
  </si>
  <si>
    <t>IPIA RODRIGUEZ ANNY SUJEY</t>
  </si>
  <si>
    <t>MEJIA CHEPE JUAN CAMILO</t>
  </si>
  <si>
    <t>MARIN VASQUEZ DIEGO ALEJANDRO</t>
  </si>
  <si>
    <t>RINCON TORO VICTOR</t>
  </si>
  <si>
    <t>CAMPAZ PATIÑO CARLOS ARMANDO</t>
  </si>
  <si>
    <t>QUERUBIN CRUZ JUAN DAVID</t>
  </si>
  <si>
    <t>URRESTA ASTUDILLO CARLOS ARTURO</t>
  </si>
  <si>
    <t>SANCHEZ PRADO HERNANDO</t>
  </si>
  <si>
    <t>CAMPO BEDOYA LEIVIS FABIÁN</t>
  </si>
  <si>
    <t>CARDENAS QUIÑONEZ FRANCIS DANIEL</t>
  </si>
  <si>
    <t>ZUÑIGA ULCUE ALEXANDER</t>
  </si>
  <si>
    <t>TORRES RAMIREZ IVAN SERGEI</t>
  </si>
  <si>
    <t>PULGARIN ASTUDILLO ALEX EDUARDO</t>
  </si>
  <si>
    <t>TELLO MEDINA LUCIANA GISELLE</t>
  </si>
  <si>
    <t>MONTOYA ANGULO JHONIER DAVID</t>
  </si>
  <si>
    <t>BERDUGO MASMELA VALENTINA</t>
  </si>
  <si>
    <t>LLOREDA VACA JANNY</t>
  </si>
  <si>
    <t>DAZA LEON ANGEL</t>
  </si>
  <si>
    <t>VASQUEZ PELAEZ ANDRES FELIPE</t>
  </si>
  <si>
    <t>MEJIA VARGAS RAQUEL</t>
  </si>
  <si>
    <t>BURITICA MARTINEZ JUAN CAMILO</t>
  </si>
  <si>
    <t>CORREA USSA SEBASTIAN</t>
  </si>
  <si>
    <t>FERNANDEZ PARRA DANIELA ANDREA</t>
  </si>
  <si>
    <t>MULTIEMPLEOS</t>
  </si>
  <si>
    <t>SUMMAR</t>
  </si>
  <si>
    <t>REDES</t>
  </si>
  <si>
    <t>'16/01/2026</t>
  </si>
  <si>
    <t>'06/04/2026</t>
  </si>
  <si>
    <t>'19/03/2026</t>
  </si>
  <si>
    <t>'08/08/2025</t>
  </si>
  <si>
    <t>'01/11/2025</t>
  </si>
  <si>
    <t>'25/03/2026</t>
  </si>
  <si>
    <t>'04/07/2025</t>
  </si>
  <si>
    <t>'22/04/2025</t>
  </si>
  <si>
    <t>'13/04/2026</t>
  </si>
  <si>
    <t>'10/11/2025</t>
  </si>
  <si>
    <t>'09/04/2026</t>
  </si>
  <si>
    <t>'05/12/2025</t>
  </si>
  <si>
    <t>'22/01/2026</t>
  </si>
  <si>
    <t>'11/12/2025</t>
  </si>
  <si>
    <t>'15/04/2026</t>
  </si>
  <si>
    <t>'17/01/2026</t>
  </si>
  <si>
    <t>'03/02/2026</t>
  </si>
  <si>
    <t>'20/05/2025</t>
  </si>
  <si>
    <t>'23/10/2025</t>
  </si>
  <si>
    <t>'24/03/2026</t>
  </si>
  <si>
    <t>'14/04/2026</t>
  </si>
  <si>
    <t>'08/09/2025</t>
  </si>
  <si>
    <t>'16/10/2025</t>
  </si>
  <si>
    <t>'19/05/2025</t>
  </si>
  <si>
    <t>'19/11/2025</t>
  </si>
  <si>
    <t>'01/09/2025</t>
  </si>
  <si>
    <t>'01/10/2025</t>
  </si>
  <si>
    <t>'19/01/2026</t>
  </si>
  <si>
    <t>'25/06/2025</t>
  </si>
  <si>
    <t>'01/07/2025</t>
  </si>
  <si>
    <t>'25/07/2025</t>
  </si>
  <si>
    <t>'20/10/2025</t>
  </si>
  <si>
    <t>'22/12/2025</t>
  </si>
  <si>
    <t>'02/03/2026</t>
  </si>
  <si>
    <t>'06/03/2026</t>
  </si>
  <si>
    <t>'16/06/2025</t>
  </si>
  <si>
    <t>'02/07/2025</t>
  </si>
  <si>
    <t>'30/03/2026</t>
  </si>
  <si>
    <t>'04/11/2025</t>
  </si>
  <si>
    <t>'04/12/2025</t>
  </si>
  <si>
    <t>'17/03/2026</t>
  </si>
  <si>
    <t>'07/04/2026</t>
  </si>
  <si>
    <t>'09/02/2026</t>
  </si>
  <si>
    <t>'05/08/2025</t>
  </si>
  <si>
    <t>'06/10/2025</t>
  </si>
  <si>
    <t>'23/02/2026</t>
  </si>
  <si>
    <t>'10/07/2025</t>
  </si>
  <si>
    <t>'02/08/2025</t>
  </si>
  <si>
    <t>'18/07/2025</t>
  </si>
  <si>
    <t>'19/08/2025</t>
  </si>
  <si>
    <t>'15/09/2025</t>
  </si>
  <si>
    <t>'15/12/2025</t>
  </si>
  <si>
    <t>AGUDELO GARCÍA GERMAN</t>
  </si>
  <si>
    <t>VARON DURAN GEISON MAURICIO</t>
  </si>
  <si>
    <t>CARVAJAL MUÑOZ LUIS ARMANDO</t>
  </si>
  <si>
    <t>PEREZ VELEZ CRISTIAN</t>
  </si>
  <si>
    <t>ESTRADA ROCHA MILTON DUVAN</t>
  </si>
  <si>
    <t>NOMESQUE MARTINEZ ANDREA NATALIA</t>
  </si>
  <si>
    <t>VALENCIA  JULIAN STIVEN</t>
  </si>
  <si>
    <t>ESTRADA LUNA JOSÉ LEONARDO</t>
  </si>
  <si>
    <t>GÓMEZ RIZO HÉCTOR ENRIQUE</t>
  </si>
  <si>
    <t>CORREA  LONDOÑO KEVIN ANDRES</t>
  </si>
  <si>
    <t>SANABRIA LUGO ANDRES FELIPE</t>
  </si>
  <si>
    <t>VINASCO SERNA DANIEL ALEJANDRO</t>
  </si>
  <si>
    <t>ENRIQUEZ PEÑA JUAN JOSE</t>
  </si>
  <si>
    <t>2,436%</t>
  </si>
  <si>
    <t>0,522%</t>
  </si>
  <si>
    <t>6,960%</t>
  </si>
  <si>
    <t>Cedula</t>
  </si>
  <si>
    <t>HR Salario Basico</t>
  </si>
  <si>
    <t>Salario Basico</t>
  </si>
  <si>
    <t>HR Retroactivo Salario</t>
  </si>
  <si>
    <t>Retroactivo Salario</t>
  </si>
  <si>
    <t>HR Recargo Nocturno 0.35%</t>
  </si>
  <si>
    <t>Recargo Nocturno 0.35%</t>
  </si>
  <si>
    <t>HR Hora Extra Diurna 125%</t>
  </si>
  <si>
    <t>Hora Extra Diurna 125%</t>
  </si>
  <si>
    <t>HR Hora Extra Nocturna</t>
  </si>
  <si>
    <t>Hora Extra Nocturna</t>
  </si>
  <si>
    <t>HR He Festiva Nocturma 250%</t>
  </si>
  <si>
    <t>He Festiva Nocturma 250%</t>
  </si>
  <si>
    <t>HR Hed Dominica Festiva 200</t>
  </si>
  <si>
    <t>Hed Dominica Festiva 200</t>
  </si>
  <si>
    <t>HR He. Festiva Nocturna 2.50</t>
  </si>
  <si>
    <t>He. Festiva Nocturna 2.50</t>
  </si>
  <si>
    <t>HR He Ordinaria-Festiva 175%</t>
  </si>
  <si>
    <t>He Ordinaria-Festiva 175%</t>
  </si>
  <si>
    <t>HR Subsidio De Transporte</t>
  </si>
  <si>
    <t>Subsidio De Transporte</t>
  </si>
  <si>
    <t>HR Retroactivo Aux. Transpor</t>
  </si>
  <si>
    <t>Retroactivo Aux. Transpor</t>
  </si>
  <si>
    <t>HR Incapacidad Emp EPS 67%</t>
  </si>
  <si>
    <t>Incapacidad Emp EPS 67%</t>
  </si>
  <si>
    <t>HR Mayor vlr Pagado Salario</t>
  </si>
  <si>
    <t>Mayor vlr Pagado Salario</t>
  </si>
  <si>
    <t>HR Licencia Remunerada</t>
  </si>
  <si>
    <t>Licencia Remunerada</t>
  </si>
  <si>
    <t>HR Vacaciones Dias No Habile</t>
  </si>
  <si>
    <t>Vacaciones Dias No Habile</t>
  </si>
  <si>
    <t>HR Vacaciones Disfrutadas</t>
  </si>
  <si>
    <t>Vacaciones Disfrutadas</t>
  </si>
  <si>
    <t>HR Incap. Pagada x EPS 67</t>
  </si>
  <si>
    <t>Incap. Pagada x EPS 67</t>
  </si>
  <si>
    <t>HR Licencia No Remunerada</t>
  </si>
  <si>
    <t>Inasistencia</t>
  </si>
  <si>
    <t>Suspencion</t>
  </si>
  <si>
    <t>Provision Cesantias</t>
  </si>
  <si>
    <t>Provision Int Cesantias</t>
  </si>
  <si>
    <t>Provision Prima</t>
  </si>
  <si>
    <t>Provision Vacaciones</t>
  </si>
  <si>
    <t>Aporte AFP</t>
  </si>
  <si>
    <t>Aporte ARL</t>
  </si>
  <si>
    <t>Aporte Caja</t>
  </si>
  <si>
    <t>Seguro colectivo</t>
  </si>
  <si>
    <t>Aux.Alimentacion No Const</t>
  </si>
  <si>
    <t>Aux. Rodamiento No Consti</t>
  </si>
  <si>
    <t>AUSENCIAS</t>
  </si>
  <si>
    <t>Administración</t>
  </si>
  <si>
    <t>SUBTOTAL</t>
  </si>
  <si>
    <t>IVA</t>
  </si>
  <si>
    <t>DESCUENTO SEGURO DE VIDA</t>
  </si>
  <si>
    <t>OBSERVACIONES</t>
  </si>
  <si>
    <t>VALOR2</t>
  </si>
  <si>
    <t>HORAS3</t>
  </si>
  <si>
    <t>VALOR4</t>
  </si>
  <si>
    <t>HORAS5</t>
  </si>
  <si>
    <t>VALOR6</t>
  </si>
  <si>
    <t>HORAS7</t>
  </si>
  <si>
    <t>VALOR8</t>
  </si>
  <si>
    <t>HORAS9</t>
  </si>
  <si>
    <t>VALOR10</t>
  </si>
  <si>
    <t>HORAS11</t>
  </si>
  <si>
    <t>VALOR12</t>
  </si>
  <si>
    <t>HORAS13</t>
  </si>
  <si>
    <t>VALOR14</t>
  </si>
  <si>
    <t>Aux.Alimentacion No Const15</t>
  </si>
  <si>
    <t>NQ 006090</t>
  </si>
  <si>
    <t>AGUDELO TANGARIFE JUAN DIEGO</t>
  </si>
  <si>
    <t>20251204</t>
  </si>
  <si>
    <t>20260320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</si>
</sst>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yyyy\-mm\-dd;@"/>
    <numFmt numFmtId="167" formatCode="_(* #,##0.000_);_(* \(#,##0.000\);_(* &quot;-&quot;??_);_(@_)"/>
    <numFmt numFmtId="168" formatCode="m/d/yyyy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222222"/>
      <name val="Arial Narrow"/>
      <family val="2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b/>
      <u/>
      <sz val="12"/>
      <color indexed="8"/>
      <name val="Arial Narrow"/>
      <family val="2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12"/>
      <color rgb="FFFF0000"/>
      <name val="Arial Narrow"/>
      <family val="2"/>
    </font>
    <font>
      <b/>
      <sz val="10"/>
      <color theme="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theme="0"/>
      <name val="Arial Narrow"/>
      <family val="2"/>
    </font>
    <font>
      <b/>
      <sz val="14"/>
      <color indexed="8"/>
      <name val="Arial Narrow"/>
      <family val="2"/>
    </font>
    <font>
      <sz val="10"/>
      <name val="Arial"/>
      <family val="2"/>
    </font>
    <font>
      <sz val="8"/>
      <color theme="1"/>
      <name val="Trebuchet MS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Arial Narrow"/>
      <family val="2"/>
    </font>
    <font>
      <b/>
      <sz val="12"/>
      <color rgb="FFC00000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164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5" fillId="0" borderId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7" fillId="0" borderId="0"/>
  </cellStyleXfs>
  <cellXfs count="109">
    <xf numFmtId="0" fontId="0" fillId="0" borderId="0" xfId="0"/>
    <xf numFmtId="165" fontId="10" fillId="15" borderId="7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4" fillId="0" borderId="0" xfId="1" applyNumberFormat="1" applyFont="1" applyFill="1" applyAlignment="1">
      <alignment vertical="center"/>
    </xf>
    <xf numFmtId="165" fontId="4" fillId="0" borderId="0" xfId="1" applyNumberFormat="1" applyFont="1" applyFill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vertical="center"/>
    </xf>
    <xf numFmtId="165" fontId="6" fillId="18" borderId="0" xfId="1" applyNumberFormat="1" applyFont="1" applyFill="1" applyAlignment="1">
      <alignment horizontal="center" vertical="center" wrapText="1"/>
    </xf>
    <xf numFmtId="165" fontId="6" fillId="0" borderId="0" xfId="1" applyNumberFormat="1" applyFont="1" applyFill="1" applyAlignment="1">
      <alignment horizontal="center" vertical="center" wrapText="1"/>
    </xf>
    <xf numFmtId="164" fontId="4" fillId="0" borderId="0" xfId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horizontal="center" vertical="center"/>
    </xf>
    <xf numFmtId="165" fontId="7" fillId="15" borderId="13" xfId="1" applyNumberFormat="1" applyFont="1" applyFill="1" applyBorder="1" applyAlignment="1">
      <alignment vertical="center"/>
    </xf>
    <xf numFmtId="165" fontId="8" fillId="19" borderId="13" xfId="1" applyNumberFormat="1" applyFont="1" applyFill="1" applyBorder="1" applyAlignment="1">
      <alignment vertical="center"/>
    </xf>
    <xf numFmtId="165" fontId="9" fillId="0" borderId="0" xfId="1" applyNumberFormat="1" applyFont="1" applyFill="1" applyBorder="1" applyAlignment="1">
      <alignment vertical="center"/>
    </xf>
    <xf numFmtId="165" fontId="9" fillId="17" borderId="0" xfId="1" applyNumberFormat="1" applyFont="1" applyFill="1" applyBorder="1" applyAlignment="1">
      <alignment vertical="center"/>
    </xf>
    <xf numFmtId="165" fontId="11" fillId="0" borderId="0" xfId="1" applyNumberFormat="1" applyFont="1" applyFill="1" applyBorder="1" applyAlignment="1">
      <alignment vertical="center"/>
    </xf>
    <xf numFmtId="165" fontId="11" fillId="0" borderId="0" xfId="1" applyNumberFormat="1" applyFont="1" applyFill="1" applyAlignment="1">
      <alignment vertical="center"/>
    </xf>
    <xf numFmtId="165" fontId="12" fillId="0" borderId="5" xfId="1" applyNumberFormat="1" applyFont="1" applyFill="1" applyBorder="1" applyAlignment="1">
      <alignment horizontal="center" vertical="center"/>
    </xf>
    <xf numFmtId="165" fontId="10" fillId="15" borderId="10" xfId="1" applyNumberFormat="1" applyFont="1" applyFill="1" applyBorder="1" applyAlignment="1">
      <alignment horizontal="center" vertical="center" wrapText="1"/>
    </xf>
    <xf numFmtId="165" fontId="12" fillId="0" borderId="0" xfId="1" applyNumberFormat="1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12" fillId="0" borderId="0" xfId="1" applyNumberFormat="1" applyFont="1" applyFill="1" applyBorder="1" applyAlignment="1">
      <alignment horizontal="center" vertical="center" wrapText="1"/>
    </xf>
    <xf numFmtId="166" fontId="4" fillId="0" borderId="0" xfId="1" applyNumberFormat="1" applyFont="1" applyFill="1" applyAlignment="1">
      <alignment horizontal="center" vertical="center"/>
    </xf>
    <xf numFmtId="166" fontId="6" fillId="0" borderId="0" xfId="1" applyNumberFormat="1" applyFont="1" applyFill="1" applyAlignment="1">
      <alignment horizontal="center" vertical="center" wrapText="1"/>
    </xf>
    <xf numFmtId="166" fontId="12" fillId="0" borderId="5" xfId="1" applyNumberFormat="1" applyFont="1" applyFill="1" applyBorder="1" applyAlignment="1">
      <alignment horizontal="center" vertical="center"/>
    </xf>
    <xf numFmtId="166" fontId="11" fillId="0" borderId="0" xfId="1" applyNumberFormat="1" applyFont="1" applyFill="1" applyAlignment="1">
      <alignment horizontal="center" vertical="center"/>
    </xf>
    <xf numFmtId="165" fontId="14" fillId="18" borderId="5" xfId="1" applyNumberFormat="1" applyFont="1" applyFill="1" applyBorder="1" applyAlignment="1">
      <alignment horizontal="center" vertical="center"/>
    </xf>
    <xf numFmtId="167" fontId="4" fillId="0" borderId="0" xfId="1" applyNumberFormat="1" applyFont="1" applyFill="1" applyAlignment="1">
      <alignment vertical="center"/>
    </xf>
    <xf numFmtId="167" fontId="11" fillId="0" borderId="0" xfId="1" applyNumberFormat="1" applyFont="1" applyFill="1" applyAlignment="1">
      <alignment vertical="center"/>
    </xf>
    <xf numFmtId="165" fontId="4" fillId="0" borderId="13" xfId="1" applyNumberFormat="1" applyFont="1" applyFill="1" applyBorder="1" applyAlignment="1">
      <alignment vertical="center"/>
    </xf>
    <xf numFmtId="165" fontId="9" fillId="0" borderId="13" xfId="1" applyNumberFormat="1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right" vertical="center"/>
    </xf>
    <xf numFmtId="1" fontId="8" fillId="17" borderId="10" xfId="1" applyNumberFormat="1" applyFont="1" applyFill="1" applyBorder="1" applyAlignment="1">
      <alignment horizontal="center" vertical="center"/>
    </xf>
    <xf numFmtId="1" fontId="8" fillId="17" borderId="10" xfId="1" applyNumberFormat="1" applyFont="1" applyFill="1" applyBorder="1" applyAlignment="1">
      <alignment horizontal="right" vertical="center"/>
    </xf>
    <xf numFmtId="165" fontId="8" fillId="17" borderId="13" xfId="1" applyNumberFormat="1" applyFont="1" applyFill="1" applyBorder="1" applyAlignment="1">
      <alignment horizontal="right" vertical="center"/>
    </xf>
    <xf numFmtId="165" fontId="8" fillId="17" borderId="13" xfId="1" applyNumberFormat="1" applyFont="1" applyFill="1" applyBorder="1" applyAlignment="1">
      <alignment vertical="center"/>
    </xf>
    <xf numFmtId="1" fontId="8" fillId="0" borderId="10" xfId="1" applyNumberFormat="1" applyFont="1" applyFill="1" applyBorder="1" applyAlignment="1">
      <alignment horizontal="center" vertical="center"/>
    </xf>
    <xf numFmtId="14" fontId="8" fillId="0" borderId="13" xfId="1" applyNumberFormat="1" applyFont="1" applyFill="1" applyBorder="1" applyAlignment="1">
      <alignment horizontal="right" vertical="center"/>
    </xf>
    <xf numFmtId="0" fontId="8" fillId="0" borderId="13" xfId="1" applyNumberFormat="1" applyFont="1" applyFill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center" vertical="center"/>
    </xf>
    <xf numFmtId="167" fontId="8" fillId="0" borderId="13" xfId="1" applyNumberFormat="1" applyFont="1" applyFill="1" applyBorder="1" applyAlignment="1">
      <alignment horizontal="right" vertical="center"/>
    </xf>
    <xf numFmtId="14" fontId="8" fillId="22" borderId="13" xfId="1" applyNumberFormat="1" applyFont="1" applyFill="1" applyBorder="1" applyAlignment="1">
      <alignment horizontal="right" vertical="center"/>
    </xf>
    <xf numFmtId="0" fontId="8" fillId="23" borderId="13" xfId="1" applyNumberFormat="1" applyFont="1" applyFill="1" applyBorder="1" applyAlignment="1">
      <alignment horizontal="right" vertical="center"/>
    </xf>
    <xf numFmtId="165" fontId="8" fillId="23" borderId="13" xfId="1" applyNumberFormat="1" applyFont="1" applyFill="1" applyBorder="1" applyAlignment="1">
      <alignment vertical="center"/>
    </xf>
    <xf numFmtId="165" fontId="8" fillId="23" borderId="13" xfId="1" applyNumberFormat="1" applyFont="1" applyFill="1" applyBorder="1" applyAlignment="1">
      <alignment horizontal="center" vertical="center"/>
    </xf>
    <xf numFmtId="14" fontId="8" fillId="23" borderId="13" xfId="1" applyNumberFormat="1" applyFont="1" applyFill="1" applyBorder="1" applyAlignment="1">
      <alignment horizontal="right" vertical="center"/>
    </xf>
    <xf numFmtId="167" fontId="8" fillId="23" borderId="13" xfId="1" applyNumberFormat="1" applyFont="1" applyFill="1" applyBorder="1" applyAlignment="1">
      <alignment horizontal="right" vertical="center"/>
    </xf>
    <xf numFmtId="164" fontId="8" fillId="23" borderId="13" xfId="1" applyFont="1" applyFill="1" applyBorder="1" applyAlignment="1">
      <alignment horizontal="right" vertical="center"/>
    </xf>
    <xf numFmtId="165" fontId="8" fillId="23" borderId="13" xfId="1" applyNumberFormat="1" applyFont="1" applyFill="1" applyBorder="1" applyAlignment="1">
      <alignment horizontal="right" vertical="center"/>
    </xf>
    <xf numFmtId="1" fontId="8" fillId="23" borderId="10" xfId="1" applyNumberFormat="1" applyFont="1" applyFill="1" applyBorder="1" applyAlignment="1">
      <alignment horizontal="center" vertical="center"/>
    </xf>
    <xf numFmtId="1" fontId="8" fillId="23" borderId="10" xfId="1" applyNumberFormat="1" applyFont="1" applyFill="1" applyBorder="1" applyAlignment="1">
      <alignment horizontal="right" vertical="center"/>
    </xf>
    <xf numFmtId="165" fontId="7" fillId="23" borderId="13" xfId="1" applyNumberFormat="1" applyFont="1" applyFill="1" applyBorder="1" applyAlignment="1">
      <alignment vertical="center"/>
    </xf>
    <xf numFmtId="165" fontId="4" fillId="23" borderId="13" xfId="1" applyNumberFormat="1" applyFont="1" applyFill="1" applyBorder="1" applyAlignment="1">
      <alignment vertical="center"/>
    </xf>
    <xf numFmtId="165" fontId="8" fillId="0" borderId="14" xfId="1" applyNumberFormat="1" applyFont="1" applyFill="1" applyBorder="1" applyAlignment="1">
      <alignment horizontal="left" vertical="center"/>
    </xf>
    <xf numFmtId="165" fontId="8" fillId="23" borderId="14" xfId="1" applyNumberFormat="1" applyFont="1" applyFill="1" applyBorder="1" applyAlignment="1">
      <alignment horizontal="left" vertical="center"/>
    </xf>
    <xf numFmtId="165" fontId="7" fillId="15" borderId="15" xfId="1" applyNumberFormat="1" applyFont="1" applyFill="1" applyBorder="1" applyAlignment="1">
      <alignment vertical="center"/>
    </xf>
    <xf numFmtId="165" fontId="7" fillId="15" borderId="12" xfId="1" applyNumberFormat="1" applyFont="1" applyFill="1" applyBorder="1" applyAlignment="1">
      <alignment horizontal="center" vertical="center" wrapText="1"/>
    </xf>
    <xf numFmtId="165" fontId="7" fillId="15" borderId="10" xfId="1" applyNumberFormat="1" applyFont="1" applyFill="1" applyBorder="1" applyAlignment="1">
      <alignment horizontal="center" vertical="center" wrapText="1"/>
    </xf>
    <xf numFmtId="166" fontId="7" fillId="15" borderId="10" xfId="1" applyNumberFormat="1" applyFont="1" applyFill="1" applyBorder="1" applyAlignment="1">
      <alignment horizontal="center" vertical="center" wrapText="1"/>
    </xf>
    <xf numFmtId="167" fontId="7" fillId="15" borderId="10" xfId="1" applyNumberFormat="1" applyFont="1" applyFill="1" applyBorder="1" applyAlignment="1">
      <alignment horizontal="center" vertical="center" wrapText="1"/>
    </xf>
    <xf numFmtId="164" fontId="7" fillId="15" borderId="10" xfId="1" applyFont="1" applyFill="1" applyBorder="1" applyAlignment="1">
      <alignment horizontal="center" vertical="center" wrapText="1"/>
    </xf>
    <xf numFmtId="165" fontId="7" fillId="15" borderId="11" xfId="1" applyNumberFormat="1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21" borderId="10" xfId="0" applyFont="1" applyFill="1" applyBorder="1" applyAlignment="1">
      <alignment horizontal="center" vertical="center" wrapText="1"/>
    </xf>
    <xf numFmtId="165" fontId="7" fillId="20" borderId="10" xfId="1" applyNumberFormat="1" applyFont="1" applyFill="1" applyBorder="1" applyAlignment="1">
      <alignment horizontal="center" vertical="center" wrapText="1"/>
    </xf>
    <xf numFmtId="165" fontId="7" fillId="15" borderId="5" xfId="1" applyNumberFormat="1" applyFont="1" applyFill="1" applyBorder="1" applyAlignment="1">
      <alignment horizontal="center" vertical="center" wrapText="1"/>
    </xf>
    <xf numFmtId="0" fontId="8" fillId="0" borderId="17" xfId="1" applyNumberFormat="1" applyFont="1" applyFill="1" applyBorder="1" applyAlignment="1">
      <alignment horizontal="right" vertical="center"/>
    </xf>
    <xf numFmtId="165" fontId="8" fillId="0" borderId="17" xfId="1" applyNumberFormat="1" applyFont="1" applyFill="1" applyBorder="1" applyAlignment="1">
      <alignment vertical="center"/>
    </xf>
    <xf numFmtId="165" fontId="8" fillId="0" borderId="17" xfId="1" applyNumberFormat="1" applyFont="1" applyFill="1" applyBorder="1" applyAlignment="1">
      <alignment horizontal="center" vertical="center"/>
    </xf>
    <xf numFmtId="14" fontId="8" fillId="0" borderId="17" xfId="1" applyNumberFormat="1" applyFont="1" applyFill="1" applyBorder="1" applyAlignment="1">
      <alignment horizontal="right" vertical="center"/>
    </xf>
    <xf numFmtId="167" fontId="8" fillId="0" borderId="17" xfId="1" applyNumberFormat="1" applyFont="1" applyFill="1" applyBorder="1" applyAlignment="1">
      <alignment horizontal="right" vertical="center"/>
    </xf>
    <xf numFmtId="164" fontId="8" fillId="23" borderId="17" xfId="1" applyFont="1" applyFill="1" applyBorder="1" applyAlignment="1">
      <alignment horizontal="right" vertical="center"/>
    </xf>
    <xf numFmtId="165" fontId="8" fillId="0" borderId="17" xfId="1" applyNumberFormat="1" applyFont="1" applyFill="1" applyBorder="1" applyAlignment="1">
      <alignment horizontal="right" vertical="center"/>
    </xf>
    <xf numFmtId="164" fontId="8" fillId="0" borderId="17" xfId="1" applyFont="1" applyFill="1" applyBorder="1" applyAlignment="1">
      <alignment horizontal="right" vertical="center"/>
    </xf>
    <xf numFmtId="1" fontId="8" fillId="17" borderId="18" xfId="1" applyNumberFormat="1" applyFont="1" applyFill="1" applyBorder="1" applyAlignment="1">
      <alignment horizontal="center" vertical="center"/>
    </xf>
    <xf numFmtId="1" fontId="8" fillId="17" borderId="18" xfId="1" applyNumberFormat="1" applyFont="1" applyFill="1" applyBorder="1" applyAlignment="1">
      <alignment horizontal="right" vertical="center"/>
    </xf>
    <xf numFmtId="165" fontId="7" fillId="15" borderId="17" xfId="1" applyNumberFormat="1" applyFont="1" applyFill="1" applyBorder="1" applyAlignment="1">
      <alignment vertical="center"/>
    </xf>
    <xf numFmtId="165" fontId="8" fillId="17" borderId="17" xfId="1" applyNumberFormat="1" applyFont="1" applyFill="1" applyBorder="1" applyAlignment="1">
      <alignment horizontal="right" vertical="center"/>
    </xf>
    <xf numFmtId="165" fontId="8" fillId="17" borderId="17" xfId="1" applyNumberFormat="1" applyFont="1" applyFill="1" applyBorder="1" applyAlignment="1">
      <alignment vertical="center"/>
    </xf>
    <xf numFmtId="1" fontId="8" fillId="0" borderId="18" xfId="1" applyNumberFormat="1" applyFont="1" applyFill="1" applyBorder="1" applyAlignment="1">
      <alignment horizontal="center" vertical="center"/>
    </xf>
    <xf numFmtId="165" fontId="8" fillId="19" borderId="17" xfId="1" applyNumberFormat="1" applyFont="1" applyFill="1" applyBorder="1" applyAlignment="1">
      <alignment vertical="center"/>
    </xf>
    <xf numFmtId="165" fontId="8" fillId="23" borderId="17" xfId="1" applyNumberFormat="1" applyFont="1" applyFill="1" applyBorder="1" applyAlignment="1">
      <alignment vertical="center"/>
    </xf>
    <xf numFmtId="165" fontId="4" fillId="0" borderId="17" xfId="1" applyNumberFormat="1" applyFont="1" applyFill="1" applyBorder="1" applyAlignment="1">
      <alignment vertical="center"/>
    </xf>
    <xf numFmtId="165" fontId="7" fillId="15" borderId="19" xfId="1" applyNumberFormat="1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horizontal="left" vertical="center"/>
    </xf>
    <xf numFmtId="14" fontId="20" fillId="0" borderId="13" xfId="1" applyNumberFormat="1" applyFont="1" applyFill="1" applyBorder="1" applyAlignment="1">
      <alignment horizontal="right" vertical="center"/>
    </xf>
    <xf numFmtId="165" fontId="7" fillId="15" borderId="14" xfId="1" applyNumberFormat="1" applyFont="1" applyFill="1" applyBorder="1" applyAlignment="1">
      <alignment vertical="center"/>
    </xf>
    <xf numFmtId="165" fontId="19" fillId="17" borderId="13" xfId="1" applyNumberFormat="1" applyFont="1" applyFill="1" applyBorder="1" applyAlignment="1">
      <alignment vertical="center" wrapText="1"/>
    </xf>
    <xf numFmtId="168" fontId="8" fillId="0" borderId="13" xfId="1" applyNumberFormat="1" applyFont="1" applyFill="1" applyBorder="1" applyAlignment="1">
      <alignment horizontal="right" vertical="center"/>
    </xf>
    <xf numFmtId="165" fontId="8" fillId="23" borderId="16" xfId="1" applyNumberFormat="1" applyFont="1" applyFill="1" applyBorder="1" applyAlignment="1">
      <alignment horizontal="left" vertical="center"/>
    </xf>
    <xf numFmtId="168" fontId="8" fillId="0" borderId="17" xfId="1" applyNumberFormat="1" applyFont="1" applyFill="1" applyBorder="1" applyAlignment="1">
      <alignment horizontal="right" vertical="center"/>
    </xf>
    <xf numFmtId="165" fontId="10" fillId="15" borderId="7" xfId="1" applyNumberFormat="1" applyFont="1" applyFill="1" applyBorder="1" applyAlignment="1">
      <alignment horizontal="center" vertical="center" wrapText="1"/>
    </xf>
    <xf numFmtId="165" fontId="10" fillId="15" borderId="8" xfId="1" applyNumberFormat="1" applyFont="1" applyFill="1" applyBorder="1" applyAlignment="1">
      <alignment horizontal="center" vertical="center" wrapText="1"/>
    </xf>
    <xf numFmtId="165" fontId="10" fillId="15" borderId="9" xfId="1" applyNumberFormat="1" applyFont="1" applyFill="1" applyBorder="1" applyAlignment="1">
      <alignment horizontal="center" vertical="center" wrapText="1"/>
    </xf>
    <xf numFmtId="165" fontId="10" fillId="15" borderId="6" xfId="1" applyNumberFormat="1" applyFont="1" applyFill="1" applyBorder="1" applyAlignment="1">
      <alignment horizontal="center" vertical="center" wrapText="1"/>
    </xf>
    <xf numFmtId="165" fontId="10" fillId="15" borderId="5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5" fontId="7" fillId="15" borderId="2" xfId="1" applyNumberFormat="1" applyFont="1" applyFill="1" applyBorder="1" applyAlignment="1">
      <alignment horizontal="center" vertical="center" wrapText="1"/>
    </xf>
    <xf numFmtId="165" fontId="7" fillId="15" borderId="3" xfId="1" applyNumberFormat="1" applyFont="1" applyFill="1" applyBorder="1" applyAlignment="1">
      <alignment horizontal="center" vertical="center" wrapText="1"/>
    </xf>
    <xf numFmtId="165" fontId="7" fillId="15" borderId="4" xfId="1" applyNumberFormat="1" applyFont="1" applyFill="1" applyBorder="1" applyAlignment="1">
      <alignment horizontal="center" vertical="center" wrapText="1"/>
    </xf>
    <xf numFmtId="165" fontId="13" fillId="16" borderId="11" xfId="1" applyNumberFormat="1" applyFont="1" applyFill="1" applyBorder="1" applyAlignment="1">
      <alignment horizontal="center" vertical="center"/>
    </xf>
    <xf numFmtId="165" fontId="13" fillId="16" borderId="5" xfId="1" applyNumberFormat="1" applyFont="1" applyFill="1" applyBorder="1" applyAlignment="1">
      <alignment horizontal="center" vertical="center"/>
    </xf>
    <xf numFmtId="165" fontId="13" fillId="16" borderId="12" xfId="1" applyNumberFormat="1" applyFont="1" applyFill="1" applyBorder="1" applyAlignment="1">
      <alignment horizontal="center" vertical="center"/>
    </xf>
    <xf numFmtId="165" fontId="13" fillId="16" borderId="5" xfId="1" applyNumberFormat="1" applyFont="1" applyFill="1" applyBorder="1" applyAlignment="1">
      <alignment horizontal="center" vertical="center" wrapText="1"/>
    </xf>
    <xf numFmtId="165" fontId="13" fillId="16" borderId="12" xfId="1" applyNumberFormat="1" applyFont="1" applyFill="1" applyBorder="1" applyAlignment="1">
      <alignment horizontal="center" vertical="center" wrapText="1"/>
    </xf>
  </cellXfs>
  <cellStyles count="44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Estilo 1 2" xfId="40" xr:uid="{53005D6F-AFA8-4CF9-8B91-2AB4D2A9B872}"/>
    <cellStyle name="Millares" xfId="1" builtinId="3"/>
    <cellStyle name="Millares 2" xfId="41" xr:uid="{D6FF3055-3624-4C4F-92F0-66812613ED2A}"/>
    <cellStyle name="Millares 27" xfId="42" xr:uid="{C6F2CCB7-E977-4305-BFCE-CE3309A447ED}"/>
    <cellStyle name="Millares 3" xfId="39" xr:uid="{F3ABE339-9753-4CE3-BD7D-2EEB28EA08B2}"/>
    <cellStyle name="Normal" xfId="0" builtinId="0"/>
    <cellStyle name="Normal 10" xfId="43" xr:uid="{93044129-8E43-4A37-8C18-C2B8636B893A}"/>
    <cellStyle name="Normal 10 2" xfId="14" xr:uid="{00000000-0005-0000-0000-00000E000000}"/>
    <cellStyle name="Normal 2" xfId="15" xr:uid="{00000000-0005-0000-0000-00000F000000}"/>
    <cellStyle name="Normal 2 10" xfId="16" xr:uid="{00000000-0005-0000-0000-000010000000}"/>
    <cellStyle name="Normal 2 3" xfId="17" xr:uid="{00000000-0005-0000-0000-000011000000}"/>
    <cellStyle name="Normal 3" xfId="18" xr:uid="{00000000-0005-0000-0000-000012000000}"/>
    <cellStyle name="Normal 3 2" xfId="19" xr:uid="{00000000-0005-0000-0000-000013000000}"/>
    <cellStyle name="Normal 4" xfId="20" xr:uid="{00000000-0005-0000-0000-000014000000}"/>
    <cellStyle name="Normal 4 2" xfId="21" xr:uid="{00000000-0005-0000-0000-000015000000}"/>
    <cellStyle name="Normal 5" xfId="22" xr:uid="{00000000-0005-0000-0000-000016000000}"/>
    <cellStyle name="Normal 6" xfId="23" xr:uid="{00000000-0005-0000-0000-000017000000}"/>
    <cellStyle name="Normal 7" xfId="24" xr:uid="{00000000-0005-0000-0000-000018000000}"/>
    <cellStyle name="Normal 7 2" xfId="25" xr:uid="{00000000-0005-0000-0000-000019000000}"/>
    <cellStyle name="Normal 8" xfId="26" xr:uid="{00000000-0005-0000-0000-00001A000000}"/>
    <cellStyle name="Normal 9" xfId="38" xr:uid="{20B8872D-67DF-4BF1-BE2D-170078DACD96}"/>
    <cellStyle name="Notas 10" xfId="27" xr:uid="{00000000-0005-0000-0000-00001B000000}"/>
    <cellStyle name="Notas 11" xfId="28" xr:uid="{00000000-0005-0000-0000-00001C000000}"/>
    <cellStyle name="Notas 12" xfId="29" xr:uid="{00000000-0005-0000-0000-00001D000000}"/>
    <cellStyle name="Notas 2" xfId="30" xr:uid="{00000000-0005-0000-0000-00001E000000}"/>
    <cellStyle name="Notas 3" xfId="31" xr:uid="{00000000-0005-0000-0000-00001F000000}"/>
    <cellStyle name="Notas 4" xfId="32" xr:uid="{00000000-0005-0000-0000-000020000000}"/>
    <cellStyle name="Notas 5" xfId="33" xr:uid="{00000000-0005-0000-0000-000021000000}"/>
    <cellStyle name="Notas 6" xfId="34" xr:uid="{00000000-0005-0000-0000-000022000000}"/>
    <cellStyle name="Notas 7" xfId="35" xr:uid="{00000000-0005-0000-0000-000023000000}"/>
    <cellStyle name="Notas 8" xfId="36" xr:uid="{00000000-0005-0000-0000-000024000000}"/>
    <cellStyle name="Notas 9" xfId="37" xr:uid="{00000000-0005-0000-0000-000025000000}"/>
  </cellStyles>
  <dxfs count="11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7" formatCode="_(* #,##0.000_);_(* \(#,##0.00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FF"/>
      <color rgb="FFFFCCFF"/>
      <color rgb="FF66FF99"/>
      <color rgb="FFFFDD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367145</xdr:colOff>
      <xdr:row>0</xdr:row>
      <xdr:rowOff>69273</xdr:rowOff>
    </xdr:from>
    <xdr:to>
      <xdr:col>2</xdr:col>
      <xdr:colOff>1247342</xdr:colOff>
      <xdr:row>3</xdr:row>
      <xdr:rowOff>169095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145" y="69273"/>
          <a:ext cx="2514600" cy="7925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CECB1-B758-4DA0-AE28-3A2117834705}" name="DatosTabla" displayName="DatosTabla" ref="A5:CU1048576" totalsRowShown="0" headerRowDxfId="112" dataDxfId="110" headerRowBorderDxfId="111" tableBorderDxfId="109" headerRowCellStyle="Millares" dataCellStyle="Millares">
  <autoFilter ref="A5:CU1048576" xr:uid="{898CECB1-B758-4DA0-AE28-3A2117834705}"/>
  <tableColumns count="99">
    <tableColumn id="1" xr3:uid="{5F49B97B-7A50-45C9-86A4-F46BB97B8E9D}" name="TIPO " dataDxfId="108" dataCellStyle="Millares"/>
    <tableColumn id="2" xr3:uid="{7A15AFA0-AC42-4938-A1A4-5E62E53D18FE}" name="Cedula" dataDxfId="107" dataCellStyle="Millares"/>
    <tableColumn id="3" xr3:uid="{73F719A5-1CD3-4AF5-97B3-2F36F3F01E85}" name="NOMBRE" dataDxfId="106" dataCellStyle="Millares"/>
    <tableColumn id="4" xr3:uid="{A72DE65E-09E0-498E-B099-9E6BC3494240}" name="CARGO" dataDxfId="105" dataCellStyle="Millares"/>
    <tableColumn id="5" xr3:uid="{BB5D151B-76DC-45FF-B14C-DE1F0B5F5A3E}" name="NOMBRE CCOSTO" dataDxfId="104" dataCellStyle="Millares"/>
    <tableColumn id="6" xr3:uid="{1160D343-F161-4EE4-A101-5BC0FBE34909}" name="FECHA ING" dataDxfId="103" dataCellStyle="Millares"/>
    <tableColumn id="7" xr3:uid="{F8E5206D-2576-4249-8D9A-7BED25CADB90}" name="FECHA RET" dataDxfId="102" dataCellStyle="Millares"/>
    <tableColumn id="8" xr3:uid="{B4E050BB-3F5C-4435-A1C1-EA6D91F28C45}" name="% ARP" dataDxfId="101" dataCellStyle="Millares"/>
    <tableColumn id="9" xr3:uid="{358578D0-5F2E-4807-94CD-F17024A37605}" name="HR Salario Basico" dataDxfId="100" dataCellStyle="Millares"/>
    <tableColumn id="10" xr3:uid="{E5564403-E332-4285-BF1B-39F77B718207}" name="Salario Basico" dataDxfId="99" dataCellStyle="Millares"/>
    <tableColumn id="11" xr3:uid="{26A01958-AA23-4A63-A4C1-67DCB0095D93}" name="HR Retroactivo Salario" dataDxfId="98" dataCellStyle="Millares"/>
    <tableColumn id="12" xr3:uid="{632D3660-68A1-4C3B-AFA1-F77CB1C6A76F}" name="Retroactivo Salario" dataDxfId="97" dataCellStyle="Millares"/>
    <tableColumn id="13" xr3:uid="{55F82066-58A6-4429-BD06-221E6EEEB11E}" name="VALOR" dataDxfId="96" dataCellStyle="Millares"/>
    <tableColumn id="14" xr3:uid="{4B1A589A-AB4E-4199-99CC-F4893E43993E}" name="HORAS" dataDxfId="95" dataCellStyle="Millares"/>
    <tableColumn id="15" xr3:uid="{3ABC2C5F-9A6D-483F-AD15-286A3999082F}" name="VALOR2" dataDxfId="94" dataCellStyle="Millares"/>
    <tableColumn id="16" xr3:uid="{F0A59CD1-350A-4C61-9E3A-97D80AD3CFBF}" name="HR Recargo Nocturno 0.35%" dataDxfId="93" dataCellStyle="Millares"/>
    <tableColumn id="17" xr3:uid="{8134F041-4842-46E8-AF9E-C5D54846A11C}" name="Recargo Nocturno 0.35%" dataDxfId="92" dataCellStyle="Millares"/>
    <tableColumn id="18" xr3:uid="{EAA8A08B-BDA4-462B-8D44-473825199A05}" name="HR Hora Extra Diurna 125%" dataDxfId="91" dataCellStyle="Millares"/>
    <tableColumn id="19" xr3:uid="{B5D64979-5AF8-4175-BB89-05EE6F8F2B21}" name="Hora Extra Diurna 125%" dataDxfId="90" dataCellStyle="Millares"/>
    <tableColumn id="20" xr3:uid="{3A0D3AAF-B81E-44DE-AC75-87BB8D74D418}" name="HORAS3" dataDxfId="89" dataCellStyle="Millares"/>
    <tableColumn id="21" xr3:uid="{C773264D-29E1-495F-9683-E11FAA9189BC}" name="VALOR4" dataDxfId="88" dataCellStyle="Millares"/>
    <tableColumn id="22" xr3:uid="{A0F73D19-70C0-4D50-AA82-D3412F747EBD}" name="HR Hora Extra Nocturna" dataDxfId="87" dataCellStyle="Millares"/>
    <tableColumn id="23" xr3:uid="{BF23B191-468D-4D1D-956B-E37ABFFAC77F}" name="Hora Extra Nocturna" dataDxfId="86" dataCellStyle="Millares"/>
    <tableColumn id="24" xr3:uid="{E7E8DC24-6F8C-405D-93A2-107B46182182}" name="HR He Festiva Nocturma 250%" dataDxfId="85" dataCellStyle="Millares"/>
    <tableColumn id="25" xr3:uid="{C44ABD33-FB61-476F-A5BF-8E03DF6F8F77}" name="He Festiva Nocturma 250%" dataDxfId="84" dataCellStyle="Millares"/>
    <tableColumn id="26" xr3:uid="{952AC4C1-2E1B-4D6E-8BA3-AD45AA940465}" name="HORAS5" dataDxfId="83" dataCellStyle="Millares"/>
    <tableColumn id="27" xr3:uid="{F9AA6AE1-88E3-4999-9260-4AC55C30F98E}" name="VALOR6" dataDxfId="82" dataCellStyle="Millares"/>
    <tableColumn id="28" xr3:uid="{DE000645-4920-4A0F-8231-EA4AC743FB08}" name="HR Hed Dominica Festiva 200" dataDxfId="81" dataCellStyle="Millares"/>
    <tableColumn id="29" xr3:uid="{98667C11-949D-452C-98E1-3799C74BCED3}" name="Hed Dominica Festiva 200" dataDxfId="80" dataCellStyle="Millares"/>
    <tableColumn id="30" xr3:uid="{C5184FD6-54BF-40CA-97BC-AADDDD7F95AC}" name="HR He. Festiva Nocturna 2.50" dataDxfId="79" dataCellStyle="Millares"/>
    <tableColumn id="31" xr3:uid="{910D610C-FE2C-4FD9-8C3E-49F43B76F4BF}" name="He. Festiva Nocturna 2.50" dataDxfId="78" dataCellStyle="Millares"/>
    <tableColumn id="32" xr3:uid="{34234BA6-D2D0-44FE-8970-2EA90A6D61A8}" name="HR He Ordinaria-Festiva 175%" dataDxfId="77" dataCellStyle="Millares"/>
    <tableColumn id="33" xr3:uid="{D31499FD-1ABB-46BD-9B24-36AD8E830EA1}" name="He Ordinaria-Festiva 175%" dataDxfId="76" dataCellStyle="Millares"/>
    <tableColumn id="34" xr3:uid="{C1312BF0-8ED1-4551-8249-3866B9961ADC}" name="HORAS7" dataDxfId="75" dataCellStyle="Millares"/>
    <tableColumn id="35" xr3:uid="{81202A98-B517-4AA3-A873-5249EA0B1FB8}" name="VALOR8" dataDxfId="74" dataCellStyle="Millares"/>
    <tableColumn id="36" xr3:uid="{66DA1C47-3BF4-47DC-A950-2BA5677EDED6}" name="HR Subsidio De Transporte" dataDxfId="73" dataCellStyle="Millares"/>
    <tableColumn id="37" xr3:uid="{34D85098-B664-4B0A-A266-CE22F6B1AFA1}" name="Subsidio De Transporte" dataDxfId="72" dataCellStyle="Millares"/>
    <tableColumn id="38" xr3:uid="{A0762E22-5B96-4148-9630-F8C4129197FD}" name="HR Retroactivo Aux. Transpor" dataDxfId="71" dataCellStyle="Millares"/>
    <tableColumn id="39" xr3:uid="{D942009A-B5BC-49AA-AF81-3A42B89A50C4}" name="Retroactivo Aux. Transpor" dataDxfId="70" dataCellStyle="Millares"/>
    <tableColumn id="40" xr3:uid="{79DDDF8E-EA91-4238-8E0D-96F728A59430}" name="HR Incapacidad Emp EPS 67%" dataDxfId="69" dataCellStyle="Millares"/>
    <tableColumn id="41" xr3:uid="{497B05F2-8B89-4561-9760-0C97018B6BC5}" name="Incapacidad Emp EPS 67%" dataDxfId="68" dataCellStyle="Millares"/>
    <tableColumn id="42" xr3:uid="{4E63613D-BF1D-4EA7-AE0F-DDC4AE665461}" name="HR Mayor vlr Pagado Salario" dataDxfId="67" dataCellStyle="Millares"/>
    <tableColumn id="43" xr3:uid="{6B2505F6-735F-4704-B3C1-BA1C70AD1C3C}" name="Mayor vlr Pagado Salario" dataDxfId="66" dataCellStyle="Millares"/>
    <tableColumn id="44" xr3:uid="{9CECE120-A996-46CC-AFBC-7390519EF98C}" name="HORAS9" dataDxfId="65" dataCellStyle="Millares"/>
    <tableColumn id="45" xr3:uid="{C6358774-EB30-4A15-B1BB-3DD923E606DE}" name="VALOR10" dataDxfId="64" dataCellStyle="Millares"/>
    <tableColumn id="46" xr3:uid="{68B2AAF0-4136-4904-BDF2-88189F4050F2}" name="HORAS11" dataDxfId="63" dataCellStyle="Millares"/>
    <tableColumn id="47" xr3:uid="{DC5EFA7E-02AB-4314-A769-395EC17C60BD}" name="VALOR12" dataDxfId="62" dataCellStyle="Millares"/>
    <tableColumn id="48" xr3:uid="{852D1743-7B99-41B4-A416-5E7EE0829136}" name="HR Licencia Remunerada" dataDxfId="61" dataCellStyle="Millares"/>
    <tableColumn id="49" xr3:uid="{1C281747-BA2C-47D3-870B-D033BB16B1CA}" name="Licencia Remunerada" dataDxfId="60" dataCellStyle="Millares"/>
    <tableColumn id="50" xr3:uid="{ED448241-59BE-4202-B7A3-17E83FD539B9}" name="HR Vacaciones Dias No Habile" dataDxfId="59" dataCellStyle="Millares"/>
    <tableColumn id="51" xr3:uid="{18B5B756-58CC-41DD-B03E-CD530A8A5E89}" name="Vacaciones Dias No Habile" dataDxfId="58" dataCellStyle="Millares"/>
    <tableColumn id="52" xr3:uid="{24504C49-3203-4117-A819-BBA4D8D0CD9B}" name="HR Vacaciones Disfrutadas" dataDxfId="57" dataCellStyle="Millares"/>
    <tableColumn id="53" xr3:uid="{72E55DA2-3E52-4225-A352-5E458732AF0F}" name="Vacaciones Disfrutadas" dataDxfId="56" dataCellStyle="Millares"/>
    <tableColumn id="54" xr3:uid="{B97B6CF3-70B1-4738-B21E-0BEB2CCDA15B}" name="HR Incap. Pagada x EPS 67" dataDxfId="55" dataCellStyle="Millares"/>
    <tableColumn id="55" xr3:uid="{7EDBAF5E-80E4-41AA-BC05-766076559D37}" name="Incap. Pagada x EPS 67" dataDxfId="54" dataCellStyle="Millares"/>
    <tableColumn id="56" xr3:uid="{7D878710-8E3C-42AC-A4B5-76E2D5AFE18F}" name="HR Licencia No Remunerada" dataDxfId="53" dataCellStyle="Millares"/>
    <tableColumn id="57" xr3:uid="{1C05710B-EC3C-4FC6-964B-FF8CD5BD070D}" name="Inasistencia" dataDxfId="52" dataCellStyle="Millares"/>
    <tableColumn id="58" xr3:uid="{432AD9B6-D01D-4799-848A-EC8FEA03F3FB}" name="Suspencion" dataDxfId="51" dataCellStyle="Millares"/>
    <tableColumn id="59" xr3:uid="{A55D9629-8159-476A-ACD8-40985CEE7D6A}" name="TOTAL DEVENGOS" dataDxfId="50" dataCellStyle="Millares">
      <calculatedColumnFormula>+J6+Q6+L6+AK6+S6+U6+AI6+AM6+AO6+AQ6+AS6+AW6+BC6+M6+W6+Y6+AA6+AC6+AE6+AG6+O6+AU6+AY6+BA6</calculatedColumnFormula>
    </tableColumn>
    <tableColumn id="60" xr3:uid="{F346E91D-D352-4FD6-A7EE-F4164A36754E}" name="HORAS13" dataDxfId="49" dataCellStyle="Millares"/>
    <tableColumn id="61" xr3:uid="{1CF76C5A-9A6E-4A4F-85E7-B5B240EC43BD}" name="VALOR14" dataDxfId="48" dataCellStyle="Millares"/>
    <tableColumn id="62" xr3:uid="{1D5C07FB-2119-42F1-86F1-0236742EA567}" name="BASE VACACIONES" dataDxfId="47" dataCellStyle="Millares"/>
    <tableColumn id="63" xr3:uid="{6446E1CF-AEB2-4CAF-999C-C9DD14FAC613}" name="BASE SEG SOCIAL" dataDxfId="46" dataCellStyle="Millares"/>
    <tableColumn id="64" xr3:uid="{663AD2A4-2422-4B9A-ADA7-E56200A3D37F}" name="BASE ADMON" dataDxfId="45" dataCellStyle="Millares"/>
    <tableColumn id="65" xr3:uid="{297AB6DD-4095-4CDE-956B-8735C93B35B7}" name="TOTAL DEVENGOS FACTURADOS" dataDxfId="44" dataCellStyle="Millares"/>
    <tableColumn id="66" xr3:uid="{E9FF5FE9-A26D-47B9-B2B8-0368EF412789}" name="Provision Cesantias" dataDxfId="43" dataCellStyle="Millares"/>
    <tableColumn id="67" xr3:uid="{628AE54C-ED06-4737-980D-FFD8BEE289BB}" name="Provision Int Cesantias" dataDxfId="42" dataCellStyle="Millares"/>
    <tableColumn id="68" xr3:uid="{9691C642-673C-407D-850A-DD251DF39113}" name="Provision Prima" dataDxfId="41" dataCellStyle="Millares"/>
    <tableColumn id="69" xr3:uid="{560DA0CB-C9E9-44C9-9932-F00C1DC50135}" name="AJUSTE VACACIONES ULTIMO SALARIO" dataDxfId="40" dataCellStyle="Millares"/>
    <tableColumn id="70" xr3:uid="{FA8F9F15-2FCA-4EB9-92BE-1C680983EE18}" name="Provision Vacaciones" dataDxfId="39" dataCellStyle="Millares"/>
    <tableColumn id="71" xr3:uid="{297520D8-D5E1-44C2-81E6-D5EEE4050A36}" name="TOTAL PRESTACIONES" dataDxfId="38" dataCellStyle="Millares">
      <calculatedColumnFormula>+BN6+BO6+BP6+BR6+BQ6</calculatedColumnFormula>
    </tableColumn>
    <tableColumn id="72" xr3:uid="{725C3D8B-1D88-4016-87F6-91CF434C1CE1}" name="Aporte AFP" dataDxfId="37" dataCellStyle="Millares"/>
    <tableColumn id="73" xr3:uid="{EE9267F6-1A74-45DD-B1EF-D660F07D74A9}" name="Aporte ARL" dataDxfId="36" dataCellStyle="Millares"/>
    <tableColumn id="74" xr3:uid="{35AA0D5B-3011-4CA6-8267-2E0B23BCBA1E}" name="Aporte Caja" dataDxfId="35" dataCellStyle="Millares"/>
    <tableColumn id="75" xr3:uid="{8428B65E-08D8-4CF7-B26C-DAC3FFF2C661}" name="Seguro colectivo" dataDxfId="34" dataCellStyle="Millares"/>
    <tableColumn id="76" xr3:uid="{76C89735-C838-4446-8669-D21D6AD0785A}" name="TOTAL SEG SOC Y PARAF" dataDxfId="33" dataCellStyle="Millares">
      <calculatedColumnFormula>SUM(BT6:BV6)+BW6</calculatedColumnFormula>
    </tableColumn>
    <tableColumn id="77" xr3:uid="{BC7C2EBF-6CED-4B68-A7C0-E68786852C43}" name="Aux.Alimentacion No Const" dataDxfId="32" dataCellStyle="Millares"/>
    <tableColumn id="78" xr3:uid="{619E0E51-A1CB-46A2-94C0-99ED865A124F}" name="Aux. Rodamiento No Consti" dataDxfId="31" dataCellStyle="Millares"/>
    <tableColumn id="79" xr3:uid="{78AF6242-ED48-45DC-A368-9A6001AAEAA4}" name="Aux.Alimentacion No Const15" dataDxfId="30" dataCellStyle="Millares"/>
    <tableColumn id="80" xr3:uid="{3EE9E35F-FD3D-44EF-BB30-528A14CF51BE}" name="AUSENCIAS" dataDxfId="29" dataCellStyle="Millares"/>
    <tableColumn id="81" xr3:uid="{DD711FB1-4CC3-4B53-9053-97AD24460C91}" name="INTERESES PAGOS ADICIONALES" dataDxfId="28" dataCellStyle="Millares"/>
    <tableColumn id="82" xr3:uid="{77ED4395-687D-4A17-9FFB-7711132C9809}" name="COBRO 1 DIA SS" dataDxfId="27" dataCellStyle="Millares"/>
    <tableColumn id="83" xr3:uid="{298DBE80-C8C0-471C-802A-2971924903E7}" name="SENA" dataDxfId="26" dataCellStyle="Millares"/>
    <tableColumn id="84" xr3:uid="{543CB5E0-8B82-41BD-AE0E-08FE8489AB06}" name="ICBF" dataDxfId="25" dataCellStyle="Millares"/>
    <tableColumn id="85" xr3:uid="{BB6902C6-35E1-4437-B0D0-C4FA5E1BF72B}" name="IBC MES ANTERIOR" dataDxfId="24" dataCellStyle="Millares"/>
    <tableColumn id="86" xr3:uid="{0B7D572F-4048-4B1B-8129-241E83FE56E8}" name="TOTAL AUSENCIAS (LNR)" dataDxfId="23" dataCellStyle="Millares"/>
    <tableColumn id="87" xr3:uid="{A00742BD-F1E6-4DBD-845E-16305803A120}" name="AJUSTE SEGURIDAD SOCIAL" dataDxfId="22" dataCellStyle="Millares"/>
    <tableColumn id="88" xr3:uid="{F3CC6B5A-F773-47C3-B47B-CE7B889F7AA9}" name="Administración" dataDxfId="21" dataCellStyle="Millares"/>
    <tableColumn id="89" xr3:uid="{430F4F23-6853-4E35-BA13-9AF2AC107ACA}" name="BASE IVA LEY 1607 ART: 46" dataDxfId="20" dataCellStyle="Millares"/>
    <tableColumn id="90" xr3:uid="{1FDAF3FF-8589-4A62-922B-237116079C51}" name="BASE ADMON (INFORMATIVA)" dataDxfId="19" dataCellStyle="Millares"/>
    <tableColumn id="91" xr3:uid="{AA92AE73-3F12-4858-A4C3-1A3EDE688BEA}" name="SUBTOTAL" dataDxfId="18" dataCellStyle="Millares"/>
    <tableColumn id="92" xr3:uid="{FBE21843-225F-497F-9F5C-1207B58B81A7}" name="IVA" dataDxfId="17" dataCellStyle="Millares"/>
    <tableColumn id="93" xr3:uid="{C104A88D-7BC1-475C-A686-028221B1958A}" name="DESCUENTO EPS" dataDxfId="16" dataCellStyle="Millares"/>
    <tableColumn id="94" xr3:uid="{B7E6B926-C2FC-4052-A839-5BF5BB0CCAD7}" name="DESCUENTO AFP" dataDxfId="15" dataCellStyle="Millares"/>
    <tableColumn id="95" xr3:uid="{186DDDDF-A30E-4941-B2CD-335CAF472D3B}" name="Inteseses DE CESANTIAS" dataDxfId="14" dataCellStyle="Millares"/>
    <tableColumn id="96" xr3:uid="{2586BFBA-71EC-4814-A464-ED338FE9190D}" name="DESCUENTO CELULAR" dataDxfId="13" dataCellStyle="Millares"/>
    <tableColumn id="97" xr3:uid="{BBFE9E19-67CB-4988-8142-C6C20E1240DA}" name="DESCUENTO EMPRESA" dataDxfId="12" dataCellStyle="Millares"/>
    <tableColumn id="98" xr3:uid="{192CA6B0-825F-49E2-AE48-89E0ECA4362A}" name="DESCUENTO SEGURO DE VIDA" dataDxfId="11" dataCellStyle="Millares"/>
    <tableColumn id="99" xr3:uid="{28E866CA-D602-4139-AED4-2060EAD0B01B}" name="NETO FACTURA" dataDxfId="10" dataCellStyle="Millares">
      <calculatedColumnFormula>(CJ6+CY6+CN6)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48576"/>
  <sheetViews>
    <sheetView showGridLines="0" tabSelected="1" zoomScale="98" zoomScaleNormal="98" workbookViewId="0">
      <pane xSplit="3" ySplit="5" topLeftCell="CL6" activePane="bottomRight" state="frozen"/>
      <selection pane="topRight" activeCell="D1" sqref="D1"/>
      <selection pane="bottomLeft" activeCell="A6" sqref="A6"/>
      <selection pane="bottomRight" activeCell="CT9" sqref="CT9"/>
    </sheetView>
  </sheetViews>
  <sheetFormatPr baseColWidth="10" defaultColWidth="11.42578125" defaultRowHeight="0" customHeight="1" zeroHeight="1" x14ac:dyDescent="0.2"/>
  <cols>
    <col min="1" max="1" width="11.85546875" style="15" bestFit="1" customWidth="1"/>
    <col min="2" max="2" width="12.7109375" style="42" bestFit="1" customWidth="1"/>
    <col min="3" max="3" width="44.85546875" style="33" bestFit="1" customWidth="1"/>
    <col min="4" max="4" width="47.7109375" style="43" bestFit="1" customWidth="1"/>
    <col min="5" max="5" width="36.85546875" style="43" bestFit="1" customWidth="1"/>
    <col min="6" max="6" width="13.5703125" style="92" customWidth="1"/>
    <col min="7" max="7" width="14" style="92" customWidth="1"/>
    <col min="8" max="8" width="11" style="44" bestFit="1" customWidth="1"/>
    <col min="9" max="9" width="20.7109375" style="51" customWidth="1"/>
    <col min="10" max="10" width="17.42578125" style="35" customWidth="1"/>
    <col min="11" max="11" width="8.7109375" style="34" hidden="1" customWidth="1"/>
    <col min="12" max="13" width="13.28515625" style="35" hidden="1" customWidth="1"/>
    <col min="14" max="14" width="8.7109375" style="35" hidden="1" customWidth="1"/>
    <col min="15" max="15" width="13.28515625" style="35" hidden="1" customWidth="1"/>
    <col min="16" max="16" width="29.85546875" style="35" customWidth="1"/>
    <col min="17" max="17" width="26.7109375" style="35" customWidth="1"/>
    <col min="18" max="18" width="28.85546875" style="34" customWidth="1"/>
    <col min="19" max="19" width="25.7109375" style="35" customWidth="1"/>
    <col min="20" max="20" width="12.140625" style="35" customWidth="1"/>
    <col min="21" max="21" width="12" style="35" customWidth="1"/>
    <col min="22" max="22" width="25.7109375" style="34" customWidth="1"/>
    <col min="23" max="23" width="22.42578125" style="35" customWidth="1"/>
    <col min="24" max="24" width="31.5703125" style="35" customWidth="1"/>
    <col min="25" max="25" width="28.42578125" style="35" customWidth="1"/>
    <col min="26" max="26" width="8.7109375" style="35" hidden="1" customWidth="1"/>
    <col min="27" max="27" width="11" style="35" hidden="1" customWidth="1"/>
    <col min="28" max="28" width="30.85546875" style="35" customWidth="1"/>
    <col min="29" max="29" width="27.7109375" style="35" customWidth="1"/>
    <col min="30" max="30" width="30.42578125" style="35" customWidth="1"/>
    <col min="31" max="31" width="27.28515625" style="35" customWidth="1"/>
    <col min="32" max="32" width="8.7109375" style="35" hidden="1" customWidth="1"/>
    <col min="33" max="33" width="11" style="35" hidden="1" customWidth="1"/>
    <col min="34" max="34" width="11.7109375" style="35" hidden="1" customWidth="1"/>
    <col min="35" max="35" width="11" style="35" hidden="1" customWidth="1"/>
    <col min="36" max="36" width="29" style="35" customWidth="1"/>
    <col min="37" max="37" width="25.85546875" style="35" customWidth="1"/>
    <col min="38" max="38" width="11.5703125" style="35" hidden="1" customWidth="1"/>
    <col min="39" max="39" width="11.7109375" style="35" hidden="1" customWidth="1"/>
    <col min="40" max="40" width="11.5703125" style="35" hidden="1" customWidth="1"/>
    <col min="41" max="41" width="11.28515625" style="35" hidden="1" customWidth="1"/>
    <col min="42" max="42" width="8.7109375" style="35" hidden="1" customWidth="1"/>
    <col min="43" max="43" width="11" style="35" hidden="1" customWidth="1"/>
    <col min="44" max="44" width="11.5703125" style="35" hidden="1" customWidth="1"/>
    <col min="45" max="45" width="11.28515625" style="35" hidden="1" customWidth="1"/>
    <col min="46" max="46" width="13.140625" style="35" customWidth="1"/>
    <col min="47" max="47" width="13" style="35" customWidth="1"/>
    <col min="48" max="48" width="27.140625" style="35" customWidth="1"/>
    <col min="49" max="49" width="23.85546875" style="35" customWidth="1"/>
    <col min="50" max="53" width="11.28515625" style="35" hidden="1" customWidth="1"/>
    <col min="54" max="54" width="29" style="35" customWidth="1"/>
    <col min="55" max="55" width="25.85546875" style="35" customWidth="1"/>
    <col min="56" max="56" width="15.42578125" style="78" hidden="1" customWidth="1"/>
    <col min="57" max="57" width="11.5703125" style="79" hidden="1" customWidth="1"/>
    <col min="58" max="58" width="10.5703125" style="79" hidden="1" customWidth="1"/>
    <col min="59" max="59" width="22" style="13" customWidth="1"/>
    <col min="60" max="60" width="8.7109375" style="38" hidden="1" customWidth="1"/>
    <col min="61" max="61" width="8.28515625" style="38" hidden="1" customWidth="1"/>
    <col min="62" max="62" width="22.7109375" style="33" customWidth="1"/>
    <col min="63" max="63" width="22" style="33" customWidth="1"/>
    <col min="64" max="64" width="17.140625" style="33" customWidth="1"/>
    <col min="65" max="65" width="35.5703125" style="13" customWidth="1"/>
    <col min="66" max="66" width="22.42578125" style="33" customWidth="1"/>
    <col min="67" max="67" width="25.42578125" style="33" customWidth="1"/>
    <col min="68" max="68" width="19.140625" style="33" customWidth="1"/>
    <col min="69" max="69" width="13.85546875" style="33" hidden="1" customWidth="1"/>
    <col min="70" max="70" width="24" style="33" customWidth="1"/>
    <col min="71" max="71" width="26.28515625" style="13" customWidth="1"/>
    <col min="72" max="73" width="14.7109375" style="33" customWidth="1"/>
    <col min="74" max="74" width="14.85546875" style="33" customWidth="1"/>
    <col min="75" max="75" width="19.7109375" style="33" customWidth="1"/>
    <col min="76" max="76" width="28.7109375" style="13" customWidth="1"/>
    <col min="77" max="77" width="29.140625" style="39" customWidth="1"/>
    <col min="78" max="78" width="29.28515625" style="39" customWidth="1"/>
    <col min="79" max="79" width="17" style="33" hidden="1" customWidth="1"/>
    <col min="80" max="80" width="17.42578125" style="33" hidden="1" customWidth="1"/>
    <col min="81" max="85" width="15.140625" style="33" hidden="1" customWidth="1"/>
    <col min="86" max="86" width="15.85546875" style="83" hidden="1" customWidth="1"/>
    <col min="87" max="87" width="13.28515625" style="33" hidden="1" customWidth="1"/>
    <col min="88" max="88" width="18.28515625" style="14" customWidth="1"/>
    <col min="89" max="89" width="29.85546875" style="47" customWidth="1"/>
    <col min="90" max="90" width="32" style="33" customWidth="1"/>
    <col min="91" max="91" width="14.5703125" style="33" customWidth="1"/>
    <col min="92" max="92" width="13.85546875" style="47" customWidth="1"/>
    <col min="93" max="93" width="20.7109375" style="31" customWidth="1"/>
    <col min="94" max="94" width="20.5703125" style="31" customWidth="1"/>
    <col min="95" max="96" width="14.7109375" style="31" hidden="1" customWidth="1"/>
    <col min="97" max="97" width="26.28515625" style="31" customWidth="1"/>
    <col min="98" max="98" width="33.28515625" style="31" customWidth="1"/>
    <col min="99" max="99" width="19.140625" style="59" customWidth="1"/>
    <col min="100" max="100" width="18.28515625" style="15" hidden="1" customWidth="1"/>
    <col min="101" max="16384" width="11.42578125" style="15"/>
  </cols>
  <sheetData>
    <row r="1" spans="1:100" s="8" customFormat="1" ht="15.75" x14ac:dyDescent="0.2">
      <c r="A1" s="2"/>
      <c r="B1" s="3"/>
      <c r="C1" s="3"/>
      <c r="D1" s="4"/>
      <c r="E1" s="4"/>
      <c r="F1" s="24"/>
      <c r="G1" s="24"/>
      <c r="H1" s="29"/>
      <c r="I1" s="100"/>
      <c r="J1" s="100"/>
      <c r="K1" s="100"/>
      <c r="L1" s="100"/>
      <c r="M1" s="5"/>
      <c r="N1" s="5"/>
      <c r="O1" s="5"/>
      <c r="P1" s="100"/>
      <c r="Q1" s="100"/>
      <c r="R1" s="100"/>
      <c r="S1" s="100"/>
      <c r="T1" s="100"/>
      <c r="U1" s="100"/>
      <c r="V1" s="6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7"/>
      <c r="BM1" s="7"/>
      <c r="BP1" s="3"/>
      <c r="BQ1" s="3"/>
      <c r="BR1" s="3"/>
      <c r="BS1" s="7"/>
      <c r="BT1" s="3"/>
      <c r="BU1" s="3"/>
      <c r="BV1" s="3"/>
      <c r="BW1" s="3"/>
      <c r="BX1" s="7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U1" s="7"/>
    </row>
    <row r="2" spans="1:100" s="8" customFormat="1" ht="24" customHeight="1" thickBot="1" x14ac:dyDescent="0.25">
      <c r="B2" s="3"/>
      <c r="C2" s="3"/>
      <c r="D2" s="9" t="s">
        <v>47</v>
      </c>
      <c r="E2" s="10"/>
      <c r="F2" s="25"/>
      <c r="G2" s="24"/>
      <c r="H2" s="29"/>
      <c r="R2" s="11"/>
      <c r="V2" s="11"/>
      <c r="BD2" s="12"/>
      <c r="BG2" s="7"/>
      <c r="BM2" s="7"/>
      <c r="BP2" s="3"/>
      <c r="BQ2" s="3"/>
      <c r="BR2" s="3"/>
      <c r="BS2" s="7"/>
      <c r="BT2" s="3"/>
      <c r="BU2" s="3"/>
      <c r="BV2" s="3"/>
      <c r="BW2" s="3"/>
      <c r="BX2" s="7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7"/>
    </row>
    <row r="3" spans="1:100" s="8" customFormat="1" ht="15.75" customHeight="1" thickBot="1" x14ac:dyDescent="0.25">
      <c r="B3" s="3"/>
      <c r="C3" s="3"/>
      <c r="D3" s="4"/>
      <c r="E3" s="4"/>
      <c r="F3" s="24"/>
      <c r="G3" s="24"/>
      <c r="H3" s="29"/>
      <c r="R3" s="11"/>
      <c r="V3" s="11"/>
      <c r="BD3" s="101" t="s">
        <v>0</v>
      </c>
      <c r="BE3" s="102"/>
      <c r="BF3" s="103"/>
      <c r="BG3" s="7"/>
      <c r="BM3" s="7"/>
      <c r="BP3" s="3"/>
      <c r="BQ3" s="3"/>
      <c r="BR3" s="3"/>
      <c r="BS3" s="7"/>
      <c r="BT3" s="3"/>
      <c r="BU3" s="3"/>
      <c r="BV3" s="3"/>
      <c r="BW3" s="3"/>
      <c r="BX3" s="7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7"/>
    </row>
    <row r="4" spans="1:100" s="17" customFormat="1" ht="45" customHeight="1" x14ac:dyDescent="0.2">
      <c r="B4" s="18"/>
      <c r="C4" s="18"/>
      <c r="D4" s="28" t="s">
        <v>124</v>
      </c>
      <c r="E4" s="19"/>
      <c r="F4" s="26"/>
      <c r="G4" s="27"/>
      <c r="H4" s="30"/>
      <c r="I4" s="98" t="s">
        <v>1</v>
      </c>
      <c r="J4" s="95"/>
      <c r="K4" s="98" t="s">
        <v>62</v>
      </c>
      <c r="L4" s="95"/>
      <c r="M4" s="1" t="s">
        <v>2</v>
      </c>
      <c r="N4" s="95" t="s">
        <v>69</v>
      </c>
      <c r="O4" s="95"/>
      <c r="P4" s="96" t="s">
        <v>3</v>
      </c>
      <c r="Q4" s="97"/>
      <c r="R4" s="96" t="s">
        <v>4</v>
      </c>
      <c r="S4" s="97"/>
      <c r="T4" s="96" t="s">
        <v>5</v>
      </c>
      <c r="U4" s="97"/>
      <c r="V4" s="96" t="s">
        <v>6</v>
      </c>
      <c r="W4" s="97"/>
      <c r="X4" s="96" t="s">
        <v>7</v>
      </c>
      <c r="Y4" s="97"/>
      <c r="Z4" s="96" t="s">
        <v>8</v>
      </c>
      <c r="AA4" s="97"/>
      <c r="AB4" s="96" t="s">
        <v>43</v>
      </c>
      <c r="AC4" s="97"/>
      <c r="AD4" s="95" t="s">
        <v>61</v>
      </c>
      <c r="AE4" s="95"/>
      <c r="AF4" s="95" t="s">
        <v>9</v>
      </c>
      <c r="AG4" s="95"/>
      <c r="AH4" s="95" t="s">
        <v>46</v>
      </c>
      <c r="AI4" s="95"/>
      <c r="AJ4" s="96" t="s">
        <v>10</v>
      </c>
      <c r="AK4" s="97"/>
      <c r="AL4" s="95" t="s">
        <v>49</v>
      </c>
      <c r="AM4" s="95"/>
      <c r="AN4" s="95" t="s">
        <v>11</v>
      </c>
      <c r="AO4" s="95"/>
      <c r="AP4" s="95" t="s">
        <v>12</v>
      </c>
      <c r="AQ4" s="95"/>
      <c r="AR4" s="96" t="s">
        <v>44</v>
      </c>
      <c r="AS4" s="97"/>
      <c r="AT4" s="96" t="s">
        <v>11</v>
      </c>
      <c r="AU4" s="97"/>
      <c r="AV4" s="96" t="s">
        <v>110</v>
      </c>
      <c r="AW4" s="97"/>
      <c r="AX4" s="96" t="s">
        <v>50</v>
      </c>
      <c r="AY4" s="97"/>
      <c r="AZ4" s="96" t="s">
        <v>51</v>
      </c>
      <c r="BA4" s="97"/>
      <c r="BB4" s="96" t="s">
        <v>13</v>
      </c>
      <c r="BC4" s="97"/>
      <c r="BD4" s="20" t="s">
        <v>14</v>
      </c>
      <c r="BE4" s="20" t="s">
        <v>15</v>
      </c>
      <c r="BF4" s="20" t="s">
        <v>16</v>
      </c>
      <c r="BG4" s="21"/>
      <c r="BH4" s="22"/>
      <c r="BI4" s="22"/>
      <c r="BJ4" s="22"/>
      <c r="BK4" s="22"/>
      <c r="BL4" s="22"/>
      <c r="BM4" s="21"/>
      <c r="BN4" s="22"/>
      <c r="BO4" s="22"/>
      <c r="BP4" s="22"/>
      <c r="BQ4" s="22"/>
      <c r="BR4" s="22"/>
      <c r="BS4" s="21"/>
      <c r="BT4" s="22"/>
      <c r="BU4" s="22"/>
      <c r="BV4" s="22"/>
      <c r="BW4" s="22"/>
      <c r="BX4" s="21"/>
      <c r="BY4" s="107" t="s">
        <v>17</v>
      </c>
      <c r="BZ4" s="107"/>
      <c r="CA4" s="108"/>
      <c r="CB4" s="104"/>
      <c r="CC4" s="105"/>
      <c r="CD4" s="105"/>
      <c r="CE4" s="105"/>
      <c r="CF4" s="106"/>
      <c r="CG4" s="18"/>
      <c r="CH4" s="18"/>
      <c r="CI4" s="18"/>
      <c r="CJ4" s="18"/>
      <c r="CK4" s="22"/>
      <c r="CL4" s="22"/>
      <c r="CM4" s="22"/>
      <c r="CN4" s="22"/>
      <c r="CO4" s="99" t="s">
        <v>54</v>
      </c>
      <c r="CP4" s="99"/>
      <c r="CQ4" s="99"/>
      <c r="CR4" s="22"/>
      <c r="CS4" s="22"/>
      <c r="CT4" s="22"/>
      <c r="CU4" s="21"/>
    </row>
    <row r="5" spans="1:100" s="23" customFormat="1" ht="57" customHeight="1" x14ac:dyDescent="0.2">
      <c r="A5" s="60" t="s">
        <v>18</v>
      </c>
      <c r="B5" s="61" t="s">
        <v>258</v>
      </c>
      <c r="C5" s="61" t="s">
        <v>19</v>
      </c>
      <c r="D5" s="61" t="s">
        <v>20</v>
      </c>
      <c r="E5" s="61" t="s">
        <v>45</v>
      </c>
      <c r="F5" s="62" t="s">
        <v>21</v>
      </c>
      <c r="G5" s="62" t="s">
        <v>22</v>
      </c>
      <c r="H5" s="63" t="s">
        <v>23</v>
      </c>
      <c r="I5" s="61" t="s">
        <v>259</v>
      </c>
      <c r="J5" s="61" t="s">
        <v>260</v>
      </c>
      <c r="K5" s="61" t="s">
        <v>261</v>
      </c>
      <c r="L5" s="61" t="s">
        <v>262</v>
      </c>
      <c r="M5" s="61" t="s">
        <v>25</v>
      </c>
      <c r="N5" s="61" t="s">
        <v>24</v>
      </c>
      <c r="O5" s="61" t="s">
        <v>312</v>
      </c>
      <c r="P5" s="61" t="s">
        <v>263</v>
      </c>
      <c r="Q5" s="61" t="s">
        <v>264</v>
      </c>
      <c r="R5" s="64" t="s">
        <v>265</v>
      </c>
      <c r="S5" s="61" t="s">
        <v>266</v>
      </c>
      <c r="T5" s="61" t="s">
        <v>313</v>
      </c>
      <c r="U5" s="61" t="s">
        <v>314</v>
      </c>
      <c r="V5" s="64" t="s">
        <v>267</v>
      </c>
      <c r="W5" s="61" t="s">
        <v>268</v>
      </c>
      <c r="X5" s="61" t="s">
        <v>269</v>
      </c>
      <c r="Y5" s="61" t="s">
        <v>270</v>
      </c>
      <c r="Z5" s="61" t="s">
        <v>315</v>
      </c>
      <c r="AA5" s="61" t="s">
        <v>316</v>
      </c>
      <c r="AB5" s="61" t="s">
        <v>271</v>
      </c>
      <c r="AC5" s="61" t="s">
        <v>272</v>
      </c>
      <c r="AD5" s="61" t="s">
        <v>273</v>
      </c>
      <c r="AE5" s="61" t="s">
        <v>274</v>
      </c>
      <c r="AF5" s="61" t="s">
        <v>275</v>
      </c>
      <c r="AG5" s="61" t="s">
        <v>276</v>
      </c>
      <c r="AH5" s="61" t="s">
        <v>317</v>
      </c>
      <c r="AI5" s="61" t="s">
        <v>318</v>
      </c>
      <c r="AJ5" s="61" t="s">
        <v>277</v>
      </c>
      <c r="AK5" s="61" t="s">
        <v>278</v>
      </c>
      <c r="AL5" s="61" t="s">
        <v>279</v>
      </c>
      <c r="AM5" s="61" t="s">
        <v>280</v>
      </c>
      <c r="AN5" s="61" t="s">
        <v>281</v>
      </c>
      <c r="AO5" s="61" t="s">
        <v>282</v>
      </c>
      <c r="AP5" s="61" t="s">
        <v>283</v>
      </c>
      <c r="AQ5" s="61" t="s">
        <v>284</v>
      </c>
      <c r="AR5" s="61" t="s">
        <v>319</v>
      </c>
      <c r="AS5" s="61" t="s">
        <v>320</v>
      </c>
      <c r="AT5" s="61" t="s">
        <v>321</v>
      </c>
      <c r="AU5" s="61" t="s">
        <v>322</v>
      </c>
      <c r="AV5" s="61" t="s">
        <v>285</v>
      </c>
      <c r="AW5" s="61" t="s">
        <v>286</v>
      </c>
      <c r="AX5" s="61" t="s">
        <v>287</v>
      </c>
      <c r="AY5" s="61" t="s">
        <v>288</v>
      </c>
      <c r="AZ5" s="61" t="s">
        <v>289</v>
      </c>
      <c r="BA5" s="61" t="s">
        <v>290</v>
      </c>
      <c r="BB5" s="61" t="s">
        <v>291</v>
      </c>
      <c r="BC5" s="65" t="s">
        <v>292</v>
      </c>
      <c r="BD5" s="61" t="s">
        <v>293</v>
      </c>
      <c r="BE5" s="61" t="s">
        <v>294</v>
      </c>
      <c r="BF5" s="61" t="s">
        <v>295</v>
      </c>
      <c r="BG5" s="61" t="s">
        <v>26</v>
      </c>
      <c r="BH5" s="61" t="s">
        <v>323</v>
      </c>
      <c r="BI5" s="61" t="s">
        <v>324</v>
      </c>
      <c r="BJ5" s="61" t="s">
        <v>27</v>
      </c>
      <c r="BK5" s="61" t="s">
        <v>28</v>
      </c>
      <c r="BL5" s="61" t="s">
        <v>29</v>
      </c>
      <c r="BM5" s="60" t="s">
        <v>30</v>
      </c>
      <c r="BN5" s="61" t="s">
        <v>296</v>
      </c>
      <c r="BO5" s="61" t="s">
        <v>297</v>
      </c>
      <c r="BP5" s="61" t="s">
        <v>298</v>
      </c>
      <c r="BQ5" s="61" t="s">
        <v>31</v>
      </c>
      <c r="BR5" s="61" t="s">
        <v>299</v>
      </c>
      <c r="BS5" s="60" t="s">
        <v>32</v>
      </c>
      <c r="BT5" s="61" t="s">
        <v>300</v>
      </c>
      <c r="BU5" s="61" t="s">
        <v>301</v>
      </c>
      <c r="BV5" s="61" t="s">
        <v>302</v>
      </c>
      <c r="BW5" s="61" t="s">
        <v>303</v>
      </c>
      <c r="BX5" s="60" t="s">
        <v>35</v>
      </c>
      <c r="BY5" s="61" t="s">
        <v>304</v>
      </c>
      <c r="BZ5" s="61" t="s">
        <v>305</v>
      </c>
      <c r="CA5" s="61" t="s">
        <v>325</v>
      </c>
      <c r="CB5" s="61" t="s">
        <v>306</v>
      </c>
      <c r="CC5" s="61" t="s">
        <v>36</v>
      </c>
      <c r="CD5" s="61" t="s">
        <v>37</v>
      </c>
      <c r="CE5" s="61" t="s">
        <v>33</v>
      </c>
      <c r="CF5" s="61" t="s">
        <v>34</v>
      </c>
      <c r="CG5" s="66" t="s">
        <v>41</v>
      </c>
      <c r="CH5" s="67" t="s">
        <v>56</v>
      </c>
      <c r="CI5" s="66" t="s">
        <v>42</v>
      </c>
      <c r="CJ5" s="61" t="s">
        <v>307</v>
      </c>
      <c r="CK5" s="61" t="s">
        <v>38</v>
      </c>
      <c r="CL5" s="61" t="s">
        <v>39</v>
      </c>
      <c r="CM5" s="61" t="s">
        <v>308</v>
      </c>
      <c r="CN5" s="61" t="s">
        <v>309</v>
      </c>
      <c r="CO5" s="61" t="s">
        <v>52</v>
      </c>
      <c r="CP5" s="61" t="s">
        <v>53</v>
      </c>
      <c r="CQ5" s="68" t="s">
        <v>59</v>
      </c>
      <c r="CR5" s="61" t="s">
        <v>48</v>
      </c>
      <c r="CS5" s="61" t="s">
        <v>125</v>
      </c>
      <c r="CT5" s="61" t="s">
        <v>310</v>
      </c>
      <c r="CU5" s="69" t="s">
        <v>40</v>
      </c>
      <c r="CV5" s="23" t="s">
        <v>311</v>
      </c>
    </row>
    <row r="6" spans="1:100" s="8" customFormat="1" ht="15" customHeight="1" x14ac:dyDescent="0.2">
      <c r="A6" s="57" t="s">
        <v>187</v>
      </c>
      <c r="B6" s="42">
        <v>1047233613</v>
      </c>
      <c r="C6" s="33" t="s">
        <v>99</v>
      </c>
      <c r="D6" s="43" t="s">
        <v>66</v>
      </c>
      <c r="E6" s="43" t="s">
        <v>58</v>
      </c>
      <c r="F6" s="41" t="s">
        <v>100</v>
      </c>
      <c r="G6" s="41" t="s">
        <v>101</v>
      </c>
      <c r="H6" s="44">
        <v>6.96</v>
      </c>
      <c r="I6" s="34">
        <v>29.33</v>
      </c>
      <c r="J6" s="35">
        <v>266667</v>
      </c>
      <c r="K6" s="34"/>
      <c r="L6" s="35"/>
      <c r="M6" s="35"/>
      <c r="N6" s="35"/>
      <c r="O6" s="35"/>
      <c r="P6" s="35">
        <v>0</v>
      </c>
      <c r="Q6" s="35">
        <v>0</v>
      </c>
      <c r="R6" s="34">
        <v>12</v>
      </c>
      <c r="S6" s="35">
        <v>136364</v>
      </c>
      <c r="T6" s="35">
        <v>4</v>
      </c>
      <c r="U6" s="35">
        <v>74545</v>
      </c>
      <c r="V6" s="34">
        <v>1</v>
      </c>
      <c r="W6" s="35">
        <v>15909</v>
      </c>
      <c r="X6" s="35">
        <v>0</v>
      </c>
      <c r="Y6" s="35">
        <v>0</v>
      </c>
      <c r="Z6" s="35"/>
      <c r="AA6" s="35"/>
      <c r="AB6" s="35">
        <v>8</v>
      </c>
      <c r="AC6" s="35">
        <v>130909</v>
      </c>
      <c r="AD6" s="35">
        <v>0</v>
      </c>
      <c r="AE6" s="35">
        <v>0</v>
      </c>
      <c r="AF6" s="35"/>
      <c r="AG6" s="35"/>
      <c r="AH6" s="35"/>
      <c r="AI6" s="35"/>
      <c r="AJ6" s="35">
        <v>0</v>
      </c>
      <c r="AK6" s="35">
        <v>33213</v>
      </c>
      <c r="AL6" s="35"/>
      <c r="AM6" s="35"/>
      <c r="AN6" s="35"/>
      <c r="AO6" s="35"/>
      <c r="AP6" s="35"/>
      <c r="AQ6" s="35"/>
      <c r="AR6" s="35"/>
      <c r="AS6" s="35"/>
      <c r="AT6" s="35">
        <v>0</v>
      </c>
      <c r="AU6" s="35">
        <v>83023</v>
      </c>
      <c r="AV6" s="35"/>
      <c r="AW6" s="35"/>
      <c r="AX6" s="35"/>
      <c r="AY6" s="35"/>
      <c r="AZ6" s="35"/>
      <c r="BA6" s="35"/>
      <c r="BB6" s="35">
        <v>80.66</v>
      </c>
      <c r="BC6" s="35">
        <v>830232</v>
      </c>
      <c r="BD6" s="36"/>
      <c r="BE6" s="37"/>
      <c r="BF6" s="37"/>
      <c r="BG6" s="13">
        <f t="shared" ref="BG6:BG70" si="0">+J6+Q6+L6+AK6+S6+U6+AI6+AM6+AO6+AQ6+AS6+AW6+BC6+M6+W6+Y6+AA6+AC6+AE6+AG6+O6+AU6+AY6+BA6</f>
        <v>1570862</v>
      </c>
      <c r="BH6" s="38"/>
      <c r="BI6" s="38"/>
      <c r="BJ6" s="33">
        <f t="shared" ref="BJ6:BJ24" si="1">+(BG6+BI6-AM6-AK6-S6-U6-W6-Y6-AA6-AE6-AG6-AC6)</f>
        <v>1179922</v>
      </c>
      <c r="BK6" s="33">
        <f t="shared" ref="BK6:BK24" si="2">+(BG6+BI6-AM6-AK6)</f>
        <v>1537649</v>
      </c>
      <c r="BL6" s="33">
        <f t="shared" ref="BL6:BL24" si="3">BS6+BX6+BY6</f>
        <v>748999.140992</v>
      </c>
      <c r="BM6" s="13">
        <f t="shared" ref="BM6:BM24" si="4">+BG6</f>
        <v>1570862</v>
      </c>
      <c r="BN6" s="33">
        <f t="shared" ref="BN6:BN24" si="5">+(BG6+BI6)*0.0833</f>
        <v>130852.8046</v>
      </c>
      <c r="BO6" s="33">
        <f t="shared" ref="BO6:BO24" si="6">+(BG6+BI6)*0.01</f>
        <v>15708.62</v>
      </c>
      <c r="BP6" s="33">
        <f t="shared" ref="BP6:BP24" si="7">+($BG6+$BI6)*0.0833</f>
        <v>130852.8046</v>
      </c>
      <c r="BQ6" s="33"/>
      <c r="BR6" s="33">
        <f t="shared" ref="BR6:BR24" si="8">+BJ6*0.0434</f>
        <v>51208.614800000003</v>
      </c>
      <c r="BS6" s="13">
        <f t="shared" ref="BS6:BS70" si="9">+BN6+BO6+BP6+BR6+BQ6</f>
        <v>328622.84399999998</v>
      </c>
      <c r="BT6" s="33">
        <f t="shared" ref="BT6:BT24" si="10">(BK6)*12%</f>
        <v>184517.88</v>
      </c>
      <c r="BU6" s="33">
        <f t="shared" ref="BU6:BU24" si="11">((BG6-BC6-AO6-AM6-AK6-AW6-AU6-AY6-BA6)*H6)/100</f>
        <v>43457.822400000005</v>
      </c>
      <c r="BV6" s="33">
        <f t="shared" ref="BV6:BV24" si="12">+($BG6-$AM6-$AO6-BC6-AK6-AU6+BR6-BA6)*4%</f>
        <v>27024.104592</v>
      </c>
      <c r="BW6" s="33">
        <f t="shared" ref="BW6:BW24" si="13">+(BG6-AM6-AK6)*1%</f>
        <v>15376.49</v>
      </c>
      <c r="BX6" s="13">
        <f t="shared" ref="BX6:BX70" si="14">SUM(BT6:BV6)+BW6</f>
        <v>270376.29699200002</v>
      </c>
      <c r="BY6" s="39">
        <v>150000</v>
      </c>
      <c r="BZ6" s="39">
        <v>0</v>
      </c>
      <c r="CA6" s="33"/>
      <c r="CB6" s="33"/>
      <c r="CC6" s="33"/>
      <c r="CD6" s="33"/>
      <c r="CE6" s="33"/>
      <c r="CF6" s="33"/>
      <c r="CG6" s="33"/>
      <c r="CH6" s="40"/>
      <c r="CI6" s="33">
        <f t="shared" ref="CI6:CI24" si="15">+ROUNDUP((CG6/240)*0.12*CH6,-2)</f>
        <v>0</v>
      </c>
      <c r="CJ6" s="14">
        <f t="shared" ref="CJ6:CJ24" si="16">CL6*7%</f>
        <v>162390.27986944004</v>
      </c>
      <c r="CK6" s="33">
        <f t="shared" ref="CK6:CK24" si="17">(CM6+CJ6)*10%</f>
        <v>165201.94208614403</v>
      </c>
      <c r="CL6" s="33">
        <f t="shared" ref="CL6:CL24" si="18">+CM6+BC6</f>
        <v>2319861.1409920002</v>
      </c>
      <c r="CM6" s="33">
        <f t="shared" ref="CM6:CM24" si="19">+BM6+BS6+BX6+BY6+CA6+CB6+CC6+CD6+CE6+CF6-BC6+CI6+$BZ6-BA6</f>
        <v>1489629.1409920002</v>
      </c>
      <c r="CN6" s="33">
        <f t="shared" ref="CN6:CN24" si="20">+(CK6)*19/100</f>
        <v>31388.368996367368</v>
      </c>
      <c r="CO6" s="31">
        <v>-61506</v>
      </c>
      <c r="CP6" s="31">
        <v>-61506</v>
      </c>
      <c r="CQ6" s="31"/>
      <c r="CR6" s="31"/>
      <c r="CS6" s="31">
        <v>0</v>
      </c>
      <c r="CT6" s="31">
        <v>0</v>
      </c>
      <c r="CU6" s="59">
        <f t="shared" ref="CU6:CU70" si="21">(CJ6+CM6+CN6)</f>
        <v>1683407.7898578076</v>
      </c>
    </row>
    <row r="7" spans="1:100" s="8" customFormat="1" ht="15" customHeight="1" x14ac:dyDescent="0.2">
      <c r="A7" s="88" t="s">
        <v>326</v>
      </c>
      <c r="B7" s="42">
        <v>1033341928</v>
      </c>
      <c r="C7" s="33" t="s">
        <v>327</v>
      </c>
      <c r="D7" s="43" t="s">
        <v>55</v>
      </c>
      <c r="E7" s="43" t="s">
        <v>67</v>
      </c>
      <c r="F7" s="41" t="s">
        <v>328</v>
      </c>
      <c r="G7" s="89" t="s">
        <v>329</v>
      </c>
      <c r="H7" s="44">
        <v>6.96</v>
      </c>
      <c r="I7" s="34"/>
      <c r="J7" s="35"/>
      <c r="K7" s="34"/>
      <c r="L7" s="35"/>
      <c r="M7" s="35"/>
      <c r="N7" s="35"/>
      <c r="O7" s="35"/>
      <c r="P7" s="35">
        <v>0</v>
      </c>
      <c r="Q7" s="35">
        <v>0</v>
      </c>
      <c r="R7" s="34">
        <v>0</v>
      </c>
      <c r="S7" s="35">
        <v>0</v>
      </c>
      <c r="T7" s="35">
        <v>0</v>
      </c>
      <c r="U7" s="35">
        <v>0</v>
      </c>
      <c r="V7" s="34">
        <v>0</v>
      </c>
      <c r="W7" s="35">
        <v>0</v>
      </c>
      <c r="X7" s="35"/>
      <c r="Y7" s="35"/>
      <c r="Z7" s="35"/>
      <c r="AA7" s="35"/>
      <c r="AB7" s="35">
        <v>0</v>
      </c>
      <c r="AC7" s="35">
        <v>0</v>
      </c>
      <c r="AD7" s="35">
        <v>0</v>
      </c>
      <c r="AE7" s="35">
        <v>0</v>
      </c>
      <c r="AF7" s="35"/>
      <c r="AG7" s="35"/>
      <c r="AH7" s="35"/>
      <c r="AI7" s="35"/>
      <c r="AJ7" s="35">
        <v>0</v>
      </c>
      <c r="AK7" s="35"/>
      <c r="AL7" s="35"/>
      <c r="AM7" s="35"/>
      <c r="AN7" s="35"/>
      <c r="AO7" s="35"/>
      <c r="AP7" s="35"/>
      <c r="AQ7" s="35"/>
      <c r="AR7" s="35"/>
      <c r="AS7" s="35"/>
      <c r="AT7" s="35">
        <v>0</v>
      </c>
      <c r="AU7" s="35">
        <v>0</v>
      </c>
      <c r="AV7" s="35"/>
      <c r="AW7" s="35"/>
      <c r="AX7" s="35"/>
      <c r="AY7" s="35"/>
      <c r="AZ7" s="35"/>
      <c r="BA7" s="35"/>
      <c r="BB7" s="35">
        <v>0</v>
      </c>
      <c r="BC7" s="35">
        <v>0</v>
      </c>
      <c r="BD7" s="36"/>
      <c r="BE7" s="37"/>
      <c r="BF7" s="37"/>
      <c r="BG7" s="13">
        <f t="shared" si="0"/>
        <v>0</v>
      </c>
      <c r="BH7" s="38"/>
      <c r="BI7" s="38"/>
      <c r="BJ7" s="33">
        <f t="shared" si="1"/>
        <v>0</v>
      </c>
      <c r="BK7" s="33">
        <f t="shared" si="2"/>
        <v>0</v>
      </c>
      <c r="BL7" s="33"/>
      <c r="BM7" s="13">
        <f t="shared" si="4"/>
        <v>0</v>
      </c>
      <c r="BN7" s="33">
        <f t="shared" si="5"/>
        <v>0</v>
      </c>
      <c r="BO7" s="33">
        <f t="shared" si="6"/>
        <v>0</v>
      </c>
      <c r="BP7" s="33">
        <f t="shared" si="7"/>
        <v>0</v>
      </c>
      <c r="BQ7" s="33"/>
      <c r="BR7" s="33">
        <f t="shared" si="8"/>
        <v>0</v>
      </c>
      <c r="BS7" s="13">
        <f t="shared" si="9"/>
        <v>0</v>
      </c>
      <c r="BT7" s="33">
        <f t="shared" si="10"/>
        <v>0</v>
      </c>
      <c r="BU7" s="33">
        <f t="shared" si="11"/>
        <v>0</v>
      </c>
      <c r="BV7" s="33">
        <f t="shared" si="12"/>
        <v>0</v>
      </c>
      <c r="BW7" s="33">
        <f t="shared" si="13"/>
        <v>0</v>
      </c>
      <c r="BX7" s="13">
        <f t="shared" si="14"/>
        <v>0</v>
      </c>
      <c r="BY7" s="39"/>
      <c r="BZ7" s="39"/>
      <c r="CA7" s="33">
        <v>0</v>
      </c>
      <c r="CB7" s="33"/>
      <c r="CC7" s="33"/>
      <c r="CD7" s="33"/>
      <c r="CE7" s="33"/>
      <c r="CF7" s="33"/>
      <c r="CG7" s="33">
        <v>1980116</v>
      </c>
      <c r="CH7" s="40">
        <v>7.33</v>
      </c>
      <c r="CI7" s="33">
        <f t="shared" si="15"/>
        <v>7300</v>
      </c>
      <c r="CJ7" s="14"/>
      <c r="CK7" s="33"/>
      <c r="CL7" s="33"/>
      <c r="CM7" s="33">
        <v>-110000</v>
      </c>
      <c r="CN7" s="33">
        <f t="shared" si="20"/>
        <v>0</v>
      </c>
      <c r="CO7" s="31"/>
      <c r="CP7" s="31"/>
      <c r="CQ7" s="31"/>
      <c r="CR7" s="31"/>
      <c r="CS7" s="31">
        <v>-110000</v>
      </c>
      <c r="CT7" s="31">
        <v>0</v>
      </c>
      <c r="CU7" s="90">
        <v>-110000</v>
      </c>
      <c r="CV7" s="91"/>
    </row>
    <row r="8" spans="1:100" s="8" customFormat="1" ht="15.6" customHeight="1" x14ac:dyDescent="0.2">
      <c r="A8" s="57" t="s">
        <v>187</v>
      </c>
      <c r="B8" s="42">
        <v>1000590137</v>
      </c>
      <c r="C8" s="33" t="s">
        <v>86</v>
      </c>
      <c r="D8" s="43" t="s">
        <v>63</v>
      </c>
      <c r="E8" s="43" t="s">
        <v>57</v>
      </c>
      <c r="F8" s="41" t="s">
        <v>90</v>
      </c>
      <c r="G8" s="41" t="s">
        <v>91</v>
      </c>
      <c r="H8" s="44">
        <v>6.96</v>
      </c>
      <c r="I8" s="34">
        <v>109.99</v>
      </c>
      <c r="J8" s="35">
        <v>950000</v>
      </c>
      <c r="K8" s="34"/>
      <c r="L8" s="35"/>
      <c r="M8" s="35"/>
      <c r="N8" s="35"/>
      <c r="O8" s="35"/>
      <c r="P8" s="35">
        <v>0</v>
      </c>
      <c r="Q8" s="35">
        <v>0</v>
      </c>
      <c r="R8" s="34">
        <v>10</v>
      </c>
      <c r="S8" s="35">
        <v>107955</v>
      </c>
      <c r="T8" s="35">
        <v>2</v>
      </c>
      <c r="U8" s="35">
        <v>35409</v>
      </c>
      <c r="V8" s="34">
        <v>5</v>
      </c>
      <c r="W8" s="35">
        <v>75568</v>
      </c>
      <c r="X8" s="35">
        <v>0</v>
      </c>
      <c r="Y8" s="35">
        <v>0</v>
      </c>
      <c r="Z8" s="35"/>
      <c r="AA8" s="35"/>
      <c r="AB8" s="35">
        <v>23</v>
      </c>
      <c r="AC8" s="35">
        <v>357545</v>
      </c>
      <c r="AD8" s="35">
        <v>0</v>
      </c>
      <c r="AE8" s="35">
        <v>0</v>
      </c>
      <c r="AF8" s="35"/>
      <c r="AG8" s="35"/>
      <c r="AH8" s="35"/>
      <c r="AI8" s="35"/>
      <c r="AJ8" s="35">
        <v>0</v>
      </c>
      <c r="AK8" s="35">
        <v>124547</v>
      </c>
      <c r="AL8" s="35"/>
      <c r="AM8" s="35"/>
      <c r="AN8" s="35"/>
      <c r="AO8" s="35"/>
      <c r="AP8" s="35"/>
      <c r="AQ8" s="35"/>
      <c r="AR8" s="35"/>
      <c r="AS8" s="35"/>
      <c r="AT8" s="35">
        <v>0</v>
      </c>
      <c r="AU8" s="35">
        <v>0</v>
      </c>
      <c r="AV8" s="35"/>
      <c r="AW8" s="35"/>
      <c r="AX8" s="35"/>
      <c r="AY8" s="35"/>
      <c r="AZ8" s="35"/>
      <c r="BA8" s="35"/>
      <c r="BB8" s="35">
        <v>0</v>
      </c>
      <c r="BC8" s="35">
        <v>0</v>
      </c>
      <c r="BD8" s="36"/>
      <c r="BE8" s="37"/>
      <c r="BF8" s="37"/>
      <c r="BG8" s="13">
        <f t="shared" si="0"/>
        <v>1651024</v>
      </c>
      <c r="BH8" s="38"/>
      <c r="BI8" s="38"/>
      <c r="BJ8" s="33">
        <f t="shared" si="1"/>
        <v>950000</v>
      </c>
      <c r="BK8" s="33">
        <f t="shared" si="2"/>
        <v>1526477</v>
      </c>
      <c r="BL8" s="33">
        <f t="shared" si="3"/>
        <v>800193.92760000005</v>
      </c>
      <c r="BM8" s="13">
        <f t="shared" si="4"/>
        <v>1651024</v>
      </c>
      <c r="BN8" s="33">
        <f t="shared" si="5"/>
        <v>137530.29920000001</v>
      </c>
      <c r="BO8" s="33">
        <f t="shared" si="6"/>
        <v>16510.240000000002</v>
      </c>
      <c r="BP8" s="33">
        <f t="shared" si="7"/>
        <v>137530.29920000001</v>
      </c>
      <c r="BQ8" s="33"/>
      <c r="BR8" s="33">
        <f t="shared" si="8"/>
        <v>41230</v>
      </c>
      <c r="BS8" s="13">
        <f t="shared" si="9"/>
        <v>332800.83840000001</v>
      </c>
      <c r="BT8" s="33">
        <f t="shared" si="10"/>
        <v>183177.24</v>
      </c>
      <c r="BU8" s="33">
        <f t="shared" si="11"/>
        <v>106242.79919999999</v>
      </c>
      <c r="BV8" s="33">
        <f t="shared" si="12"/>
        <v>62708.28</v>
      </c>
      <c r="BW8" s="33">
        <f t="shared" si="13"/>
        <v>15264.77</v>
      </c>
      <c r="BX8" s="13">
        <f t="shared" si="14"/>
        <v>367393.08920000005</v>
      </c>
      <c r="BY8" s="39">
        <v>100000</v>
      </c>
      <c r="BZ8" s="39">
        <v>0</v>
      </c>
      <c r="CA8" s="33"/>
      <c r="CB8" s="33"/>
      <c r="CC8" s="33"/>
      <c r="CD8" s="33"/>
      <c r="CE8" s="33"/>
      <c r="CF8" s="33"/>
      <c r="CG8" s="33"/>
      <c r="CH8" s="40"/>
      <c r="CI8" s="33">
        <f t="shared" si="15"/>
        <v>0</v>
      </c>
      <c r="CJ8" s="14">
        <f t="shared" si="16"/>
        <v>171585.25493200001</v>
      </c>
      <c r="CK8" s="33">
        <f t="shared" si="17"/>
        <v>262280.31825319998</v>
      </c>
      <c r="CL8" s="33">
        <f t="shared" si="18"/>
        <v>2451217.9276000001</v>
      </c>
      <c r="CM8" s="33">
        <f t="shared" si="19"/>
        <v>2451217.9276000001</v>
      </c>
      <c r="CN8" s="33">
        <f t="shared" si="20"/>
        <v>49833.26046810799</v>
      </c>
      <c r="CO8" s="31">
        <v>-61059</v>
      </c>
      <c r="CP8" s="31">
        <v>-61059</v>
      </c>
      <c r="CQ8" s="31"/>
      <c r="CR8" s="31"/>
      <c r="CS8" s="32">
        <v>0</v>
      </c>
      <c r="CT8" s="31">
        <v>0</v>
      </c>
      <c r="CU8" s="59">
        <f t="shared" si="21"/>
        <v>2672636.443000108</v>
      </c>
    </row>
    <row r="9" spans="1:100" s="8" customFormat="1" ht="15.6" customHeight="1" x14ac:dyDescent="0.2">
      <c r="A9" s="57" t="s">
        <v>187</v>
      </c>
      <c r="B9" s="42">
        <v>1235039172</v>
      </c>
      <c r="C9" s="33" t="s">
        <v>120</v>
      </c>
      <c r="D9" s="43" t="s">
        <v>72</v>
      </c>
      <c r="E9" s="43" t="s">
        <v>58</v>
      </c>
      <c r="F9" s="41" t="s">
        <v>122</v>
      </c>
      <c r="G9" s="41" t="s">
        <v>123</v>
      </c>
      <c r="H9" s="44">
        <v>6.96</v>
      </c>
      <c r="I9" s="34">
        <v>14.66</v>
      </c>
      <c r="J9" s="35">
        <v>123333</v>
      </c>
      <c r="K9" s="34"/>
      <c r="L9" s="35"/>
      <c r="M9" s="35"/>
      <c r="N9" s="35"/>
      <c r="O9" s="35"/>
      <c r="P9" s="35">
        <v>0</v>
      </c>
      <c r="Q9" s="35">
        <v>0</v>
      </c>
      <c r="R9" s="34">
        <v>0</v>
      </c>
      <c r="S9" s="35">
        <v>0</v>
      </c>
      <c r="T9" s="35">
        <v>0</v>
      </c>
      <c r="U9" s="35">
        <v>0</v>
      </c>
      <c r="V9" s="34">
        <v>0</v>
      </c>
      <c r="W9" s="35">
        <v>0</v>
      </c>
      <c r="X9" s="35">
        <v>0</v>
      </c>
      <c r="Y9" s="35">
        <v>0</v>
      </c>
      <c r="Z9" s="35"/>
      <c r="AA9" s="35"/>
      <c r="AB9" s="35">
        <v>0</v>
      </c>
      <c r="AC9" s="35">
        <v>0</v>
      </c>
      <c r="AD9" s="35">
        <v>0</v>
      </c>
      <c r="AE9" s="35">
        <v>0</v>
      </c>
      <c r="AF9" s="35"/>
      <c r="AG9" s="35"/>
      <c r="AH9" s="35"/>
      <c r="AI9" s="35"/>
      <c r="AJ9" s="35">
        <v>0</v>
      </c>
      <c r="AK9" s="35">
        <v>16606</v>
      </c>
      <c r="AL9" s="35"/>
      <c r="AM9" s="35"/>
      <c r="AN9" s="35"/>
      <c r="AO9" s="35"/>
      <c r="AP9" s="35"/>
      <c r="AQ9" s="35"/>
      <c r="AR9" s="35"/>
      <c r="AS9" s="35"/>
      <c r="AT9" s="35">
        <v>0</v>
      </c>
      <c r="AU9" s="35">
        <v>0</v>
      </c>
      <c r="AV9" s="35"/>
      <c r="AW9" s="35"/>
      <c r="AX9" s="35"/>
      <c r="AY9" s="35"/>
      <c r="AZ9" s="35"/>
      <c r="BA9" s="35"/>
      <c r="BB9" s="35">
        <v>0</v>
      </c>
      <c r="BC9" s="35">
        <v>0</v>
      </c>
      <c r="BD9" s="36"/>
      <c r="BE9" s="37"/>
      <c r="BF9" s="37"/>
      <c r="BG9" s="13">
        <f t="shared" si="0"/>
        <v>139939</v>
      </c>
      <c r="BH9" s="38"/>
      <c r="BI9" s="38"/>
      <c r="BJ9" s="33">
        <f t="shared" si="1"/>
        <v>123333</v>
      </c>
      <c r="BK9" s="33">
        <f t="shared" si="2"/>
        <v>123333</v>
      </c>
      <c r="BL9" s="33">
        <f t="shared" si="3"/>
        <v>66496.572488000005</v>
      </c>
      <c r="BM9" s="13">
        <f t="shared" si="4"/>
        <v>139939</v>
      </c>
      <c r="BN9" s="33">
        <f t="shared" si="5"/>
        <v>11656.9187</v>
      </c>
      <c r="BO9" s="33">
        <f t="shared" si="6"/>
        <v>1399.39</v>
      </c>
      <c r="BP9" s="33">
        <f t="shared" si="7"/>
        <v>11656.9187</v>
      </c>
      <c r="BQ9" s="33"/>
      <c r="BR9" s="33">
        <f t="shared" si="8"/>
        <v>5352.6522000000004</v>
      </c>
      <c r="BS9" s="13">
        <f t="shared" si="9"/>
        <v>30065.8796</v>
      </c>
      <c r="BT9" s="33">
        <f t="shared" si="10"/>
        <v>14799.96</v>
      </c>
      <c r="BU9" s="33">
        <f t="shared" si="11"/>
        <v>8583.9768000000004</v>
      </c>
      <c r="BV9" s="33">
        <f t="shared" si="12"/>
        <v>5147.4260880000002</v>
      </c>
      <c r="BW9" s="33">
        <f t="shared" si="13"/>
        <v>1233.33</v>
      </c>
      <c r="BX9" s="13">
        <f t="shared" si="14"/>
        <v>29764.692887999998</v>
      </c>
      <c r="BY9" s="39">
        <v>6666</v>
      </c>
      <c r="BZ9" s="39">
        <v>0</v>
      </c>
      <c r="CA9" s="33"/>
      <c r="CB9" s="33"/>
      <c r="CC9" s="33"/>
      <c r="CD9" s="33"/>
      <c r="CE9" s="33"/>
      <c r="CF9" s="33"/>
      <c r="CG9" s="33"/>
      <c r="CH9" s="40"/>
      <c r="CI9" s="33">
        <f t="shared" si="15"/>
        <v>0</v>
      </c>
      <c r="CJ9" s="14">
        <f t="shared" si="16"/>
        <v>14450.490074159999</v>
      </c>
      <c r="CK9" s="33">
        <f t="shared" si="17"/>
        <v>22088.606256215997</v>
      </c>
      <c r="CL9" s="33">
        <f t="shared" si="18"/>
        <v>206435.57248799998</v>
      </c>
      <c r="CM9" s="33">
        <f t="shared" si="19"/>
        <v>206435.57248799998</v>
      </c>
      <c r="CN9" s="33">
        <f t="shared" si="20"/>
        <v>4196.8351886810387</v>
      </c>
      <c r="CO9" s="31">
        <v>-4933</v>
      </c>
      <c r="CP9" s="31">
        <v>-4933</v>
      </c>
      <c r="CQ9" s="31"/>
      <c r="CR9" s="31"/>
      <c r="CS9" s="31">
        <v>0</v>
      </c>
      <c r="CT9" s="31">
        <v>0</v>
      </c>
      <c r="CU9" s="59">
        <f t="shared" si="21"/>
        <v>225082.89775084099</v>
      </c>
    </row>
    <row r="10" spans="1:100" s="8" customFormat="1" ht="15.6" customHeight="1" x14ac:dyDescent="0.2">
      <c r="A10" s="57" t="s">
        <v>187</v>
      </c>
      <c r="B10" s="42">
        <v>1001896947</v>
      </c>
      <c r="C10" s="33" t="s">
        <v>111</v>
      </c>
      <c r="D10" s="43" t="s">
        <v>55</v>
      </c>
      <c r="E10" s="43" t="s">
        <v>58</v>
      </c>
      <c r="F10" s="41" t="s">
        <v>112</v>
      </c>
      <c r="G10" s="41" t="s">
        <v>113</v>
      </c>
      <c r="H10" s="44">
        <v>6.96</v>
      </c>
      <c r="I10" s="34">
        <v>109.99</v>
      </c>
      <c r="J10" s="35">
        <v>875453</v>
      </c>
      <c r="K10" s="34"/>
      <c r="L10" s="35"/>
      <c r="M10" s="35"/>
      <c r="N10" s="35"/>
      <c r="O10" s="35"/>
      <c r="P10" s="35">
        <v>0</v>
      </c>
      <c r="Q10" s="35">
        <v>0</v>
      </c>
      <c r="R10" s="34">
        <v>21</v>
      </c>
      <c r="S10" s="35">
        <v>208915</v>
      </c>
      <c r="T10" s="35">
        <v>2</v>
      </c>
      <c r="U10" s="35">
        <v>32631</v>
      </c>
      <c r="V10" s="34">
        <v>0</v>
      </c>
      <c r="W10" s="35">
        <v>0</v>
      </c>
      <c r="X10" s="35">
        <v>0</v>
      </c>
      <c r="Y10" s="35">
        <v>0</v>
      </c>
      <c r="Z10" s="35"/>
      <c r="AA10" s="35"/>
      <c r="AB10" s="35">
        <v>8</v>
      </c>
      <c r="AC10" s="35">
        <v>114605</v>
      </c>
      <c r="AD10" s="35">
        <v>0</v>
      </c>
      <c r="AE10" s="35">
        <v>0</v>
      </c>
      <c r="AF10" s="35"/>
      <c r="AG10" s="35"/>
      <c r="AH10" s="35"/>
      <c r="AI10" s="35"/>
      <c r="AJ10" s="35">
        <v>0</v>
      </c>
      <c r="AK10" s="35">
        <v>124547</v>
      </c>
      <c r="AL10" s="35"/>
      <c r="AM10" s="35"/>
      <c r="AN10" s="35"/>
      <c r="AO10" s="35"/>
      <c r="AP10" s="35"/>
      <c r="AQ10" s="35"/>
      <c r="AR10" s="35"/>
      <c r="AS10" s="35"/>
      <c r="AT10" s="35">
        <v>0</v>
      </c>
      <c r="AU10" s="35">
        <v>0</v>
      </c>
      <c r="AV10" s="35"/>
      <c r="AW10" s="35"/>
      <c r="AX10" s="35"/>
      <c r="AY10" s="35"/>
      <c r="AZ10" s="35"/>
      <c r="BA10" s="35"/>
      <c r="BB10" s="35">
        <v>0</v>
      </c>
      <c r="BC10" s="35">
        <v>0</v>
      </c>
      <c r="BD10" s="36"/>
      <c r="BE10" s="37"/>
      <c r="BF10" s="37"/>
      <c r="BG10" s="13">
        <f t="shared" si="0"/>
        <v>1356151</v>
      </c>
      <c r="BH10" s="38"/>
      <c r="BI10" s="38"/>
      <c r="BJ10" s="33">
        <f t="shared" si="1"/>
        <v>875453</v>
      </c>
      <c r="BK10" s="33">
        <f t="shared" si="2"/>
        <v>1231604</v>
      </c>
      <c r="BL10" s="33">
        <f t="shared" si="3"/>
        <v>649103.03160799993</v>
      </c>
      <c r="BM10" s="13">
        <f t="shared" si="4"/>
        <v>1356151</v>
      </c>
      <c r="BN10" s="33">
        <f t="shared" si="5"/>
        <v>112967.3783</v>
      </c>
      <c r="BO10" s="33">
        <f t="shared" si="6"/>
        <v>13561.51</v>
      </c>
      <c r="BP10" s="33">
        <f t="shared" si="7"/>
        <v>112967.3783</v>
      </c>
      <c r="BQ10" s="33"/>
      <c r="BR10" s="33">
        <f t="shared" si="8"/>
        <v>37994.660199999998</v>
      </c>
      <c r="BS10" s="13">
        <f t="shared" si="9"/>
        <v>277490.92679999996</v>
      </c>
      <c r="BT10" s="33">
        <f t="shared" si="10"/>
        <v>147792.47999999998</v>
      </c>
      <c r="BU10" s="33">
        <f t="shared" si="11"/>
        <v>85719.638399999996</v>
      </c>
      <c r="BV10" s="33">
        <f t="shared" si="12"/>
        <v>50783.946408000003</v>
      </c>
      <c r="BW10" s="33">
        <f t="shared" si="13"/>
        <v>12316.04</v>
      </c>
      <c r="BX10" s="13">
        <f t="shared" si="14"/>
        <v>296612.10480799997</v>
      </c>
      <c r="BY10" s="39">
        <v>75000</v>
      </c>
      <c r="BZ10" s="39">
        <v>0</v>
      </c>
      <c r="CA10" s="33"/>
      <c r="CB10" s="33"/>
      <c r="CC10" s="33"/>
      <c r="CD10" s="33"/>
      <c r="CE10" s="33"/>
      <c r="CF10" s="33"/>
      <c r="CG10" s="33"/>
      <c r="CH10" s="40"/>
      <c r="CI10" s="33">
        <f t="shared" si="15"/>
        <v>0</v>
      </c>
      <c r="CJ10" s="14">
        <f t="shared" si="16"/>
        <v>140367.78221256001</v>
      </c>
      <c r="CK10" s="33">
        <f t="shared" si="17"/>
        <v>214562.18138205601</v>
      </c>
      <c r="CL10" s="33">
        <f t="shared" si="18"/>
        <v>2005254.0316079999</v>
      </c>
      <c r="CM10" s="33">
        <f t="shared" si="19"/>
        <v>2005254.0316079999</v>
      </c>
      <c r="CN10" s="33">
        <f t="shared" si="20"/>
        <v>40766.814462590643</v>
      </c>
      <c r="CO10" s="31">
        <v>-49264</v>
      </c>
      <c r="CP10" s="31">
        <v>-49264</v>
      </c>
      <c r="CQ10" s="31"/>
      <c r="CR10" s="31"/>
      <c r="CS10" s="31">
        <v>0</v>
      </c>
      <c r="CT10" s="31">
        <v>0</v>
      </c>
      <c r="CU10" s="59">
        <f t="shared" si="21"/>
        <v>2186388.6282831505</v>
      </c>
    </row>
    <row r="11" spans="1:100" s="8" customFormat="1" ht="15" customHeight="1" x14ac:dyDescent="0.2">
      <c r="A11" s="57" t="s">
        <v>187</v>
      </c>
      <c r="B11" s="42">
        <v>1010198837</v>
      </c>
      <c r="C11" s="33" t="s">
        <v>87</v>
      </c>
      <c r="D11" s="43" t="s">
        <v>66</v>
      </c>
      <c r="E11" s="43" t="s">
        <v>57</v>
      </c>
      <c r="F11" s="41" t="s">
        <v>90</v>
      </c>
      <c r="G11" s="45" t="s">
        <v>91</v>
      </c>
      <c r="H11" s="44">
        <v>6.96</v>
      </c>
      <c r="I11" s="34">
        <v>109.99</v>
      </c>
      <c r="J11" s="35">
        <v>1150000</v>
      </c>
      <c r="K11" s="34"/>
      <c r="L11" s="35"/>
      <c r="M11" s="35"/>
      <c r="N11" s="35"/>
      <c r="O11" s="35"/>
      <c r="P11" s="35">
        <v>0</v>
      </c>
      <c r="Q11" s="35">
        <v>0</v>
      </c>
      <c r="R11" s="34">
        <v>2</v>
      </c>
      <c r="S11" s="35">
        <v>26136</v>
      </c>
      <c r="T11" s="35">
        <v>3</v>
      </c>
      <c r="U11" s="35">
        <v>64295</v>
      </c>
      <c r="V11" s="34">
        <v>0</v>
      </c>
      <c r="W11" s="35">
        <v>0</v>
      </c>
      <c r="X11" s="35">
        <v>0</v>
      </c>
      <c r="Y11" s="35">
        <v>0</v>
      </c>
      <c r="Z11" s="35"/>
      <c r="AA11" s="35"/>
      <c r="AB11" s="35">
        <v>8</v>
      </c>
      <c r="AC11" s="35">
        <v>150545</v>
      </c>
      <c r="AD11" s="35">
        <v>0</v>
      </c>
      <c r="AE11" s="35">
        <v>0</v>
      </c>
      <c r="AF11" s="35"/>
      <c r="AG11" s="35"/>
      <c r="AH11" s="35"/>
      <c r="AI11" s="35"/>
      <c r="AJ11" s="35">
        <v>0</v>
      </c>
      <c r="AK11" s="35">
        <v>124547</v>
      </c>
      <c r="AL11" s="35"/>
      <c r="AM11" s="35"/>
      <c r="AN11" s="35"/>
      <c r="AO11" s="35"/>
      <c r="AP11" s="35"/>
      <c r="AQ11" s="35"/>
      <c r="AR11" s="35"/>
      <c r="AS11" s="35"/>
      <c r="AT11" s="35">
        <v>0</v>
      </c>
      <c r="AU11" s="35">
        <v>0</v>
      </c>
      <c r="AV11" s="35"/>
      <c r="AW11" s="35"/>
      <c r="AX11" s="35"/>
      <c r="AY11" s="35"/>
      <c r="AZ11" s="35"/>
      <c r="BA11" s="35"/>
      <c r="BB11" s="35">
        <v>0</v>
      </c>
      <c r="BC11" s="35">
        <v>0</v>
      </c>
      <c r="BD11" s="36"/>
      <c r="BE11" s="37"/>
      <c r="BF11" s="37"/>
      <c r="BG11" s="13">
        <f t="shared" si="0"/>
        <v>1515523</v>
      </c>
      <c r="BH11" s="38"/>
      <c r="BI11" s="38"/>
      <c r="BJ11" s="33">
        <f t="shared" si="1"/>
        <v>1150000</v>
      </c>
      <c r="BK11" s="33">
        <f t="shared" si="2"/>
        <v>1390976</v>
      </c>
      <c r="BL11" s="33">
        <f t="shared" si="3"/>
        <v>902825.61140000005</v>
      </c>
      <c r="BM11" s="13">
        <f t="shared" si="4"/>
        <v>1515523</v>
      </c>
      <c r="BN11" s="33">
        <f t="shared" si="5"/>
        <v>126243.0659</v>
      </c>
      <c r="BO11" s="33">
        <f t="shared" si="6"/>
        <v>15155.23</v>
      </c>
      <c r="BP11" s="33">
        <f t="shared" si="7"/>
        <v>126243.0659</v>
      </c>
      <c r="BQ11" s="33"/>
      <c r="BR11" s="33">
        <f t="shared" si="8"/>
        <v>49910</v>
      </c>
      <c r="BS11" s="13">
        <f t="shared" si="9"/>
        <v>317551.36180000001</v>
      </c>
      <c r="BT11" s="33">
        <f t="shared" si="10"/>
        <v>166917.12</v>
      </c>
      <c r="BU11" s="33">
        <f t="shared" si="11"/>
        <v>96811.929599999989</v>
      </c>
      <c r="BV11" s="33">
        <f t="shared" si="12"/>
        <v>57635.44</v>
      </c>
      <c r="BW11" s="33">
        <f t="shared" si="13"/>
        <v>13909.76</v>
      </c>
      <c r="BX11" s="13">
        <f t="shared" si="14"/>
        <v>335274.24959999998</v>
      </c>
      <c r="BY11" s="39">
        <v>250000</v>
      </c>
      <c r="BZ11" s="39">
        <v>0</v>
      </c>
      <c r="CA11" s="33"/>
      <c r="CB11" s="33"/>
      <c r="CC11" s="33"/>
      <c r="CD11" s="33"/>
      <c r="CE11" s="33"/>
      <c r="CF11" s="33"/>
      <c r="CG11" s="33"/>
      <c r="CH11" s="40"/>
      <c r="CI11" s="33">
        <f t="shared" si="15"/>
        <v>0</v>
      </c>
      <c r="CJ11" s="14">
        <f t="shared" si="16"/>
        <v>169284.402798</v>
      </c>
      <c r="CK11" s="33">
        <f t="shared" si="17"/>
        <v>258763.30141979997</v>
      </c>
      <c r="CL11" s="33">
        <f t="shared" si="18"/>
        <v>2418348.6113999998</v>
      </c>
      <c r="CM11" s="33">
        <f t="shared" si="19"/>
        <v>2418348.6113999998</v>
      </c>
      <c r="CN11" s="33">
        <f t="shared" si="20"/>
        <v>49165.027269761988</v>
      </c>
      <c r="CO11" s="31">
        <v>-55639</v>
      </c>
      <c r="CP11" s="31">
        <v>-55639</v>
      </c>
      <c r="CQ11" s="31"/>
      <c r="CR11" s="31"/>
      <c r="CS11" s="31">
        <v>0</v>
      </c>
      <c r="CT11" s="31">
        <v>0</v>
      </c>
      <c r="CU11" s="59">
        <f t="shared" si="21"/>
        <v>2636798.0414677616</v>
      </c>
    </row>
    <row r="12" spans="1:100" s="8" customFormat="1" ht="15" customHeight="1" x14ac:dyDescent="0.2">
      <c r="A12" s="57" t="s">
        <v>187</v>
      </c>
      <c r="B12" s="42">
        <v>1144137368</v>
      </c>
      <c r="C12" s="33" t="s">
        <v>77</v>
      </c>
      <c r="D12" s="43" t="s">
        <v>66</v>
      </c>
      <c r="E12" s="43" t="s">
        <v>58</v>
      </c>
      <c r="F12" s="41" t="s">
        <v>78</v>
      </c>
      <c r="G12" s="41" t="s">
        <v>79</v>
      </c>
      <c r="H12" s="44">
        <v>2.4359999999999999</v>
      </c>
      <c r="I12" s="34">
        <v>109.99</v>
      </c>
      <c r="J12" s="35">
        <v>875453</v>
      </c>
      <c r="K12" s="34"/>
      <c r="L12" s="35"/>
      <c r="M12" s="35"/>
      <c r="N12" s="35"/>
      <c r="O12" s="35"/>
      <c r="P12" s="35">
        <v>0</v>
      </c>
      <c r="Q12" s="35">
        <v>0</v>
      </c>
      <c r="R12" s="34">
        <v>7.5</v>
      </c>
      <c r="S12" s="35">
        <v>74612</v>
      </c>
      <c r="T12" s="35">
        <v>0</v>
      </c>
      <c r="U12" s="35">
        <v>0</v>
      </c>
      <c r="V12" s="34">
        <v>0</v>
      </c>
      <c r="W12" s="35">
        <v>0</v>
      </c>
      <c r="X12" s="35">
        <v>0</v>
      </c>
      <c r="Y12" s="35">
        <v>0</v>
      </c>
      <c r="Z12" s="35"/>
      <c r="AA12" s="35"/>
      <c r="AB12" s="35">
        <v>0</v>
      </c>
      <c r="AC12" s="35">
        <v>0</v>
      </c>
      <c r="AD12" s="35">
        <v>0</v>
      </c>
      <c r="AE12" s="35">
        <v>0</v>
      </c>
      <c r="AF12" s="35"/>
      <c r="AG12" s="35"/>
      <c r="AH12" s="35"/>
      <c r="AI12" s="35"/>
      <c r="AJ12" s="35">
        <v>0</v>
      </c>
      <c r="AK12" s="35">
        <v>124547</v>
      </c>
      <c r="AL12" s="35"/>
      <c r="AM12" s="35"/>
      <c r="AN12" s="35"/>
      <c r="AO12" s="35"/>
      <c r="AP12" s="35"/>
      <c r="AQ12" s="35"/>
      <c r="AR12" s="35"/>
      <c r="AS12" s="35"/>
      <c r="AT12" s="35">
        <v>0</v>
      </c>
      <c r="AU12" s="35">
        <v>0</v>
      </c>
      <c r="AV12" s="35"/>
      <c r="AW12" s="35"/>
      <c r="AX12" s="35"/>
      <c r="AY12" s="35"/>
      <c r="AZ12" s="35"/>
      <c r="BA12" s="35"/>
      <c r="BB12" s="35">
        <v>0</v>
      </c>
      <c r="BC12" s="35">
        <v>0</v>
      </c>
      <c r="BD12" s="36"/>
      <c r="BE12" s="37"/>
      <c r="BF12" s="37"/>
      <c r="BG12" s="13">
        <f t="shared" si="0"/>
        <v>1074612</v>
      </c>
      <c r="BH12" s="38"/>
      <c r="BI12" s="38"/>
      <c r="BJ12" s="33">
        <f t="shared" si="1"/>
        <v>875453</v>
      </c>
      <c r="BK12" s="33">
        <f t="shared" si="2"/>
        <v>950065</v>
      </c>
      <c r="BL12" s="33">
        <f t="shared" si="3"/>
        <v>413945.55920799996</v>
      </c>
      <c r="BM12" s="13">
        <f t="shared" si="4"/>
        <v>1074612</v>
      </c>
      <c r="BN12" s="33">
        <f t="shared" si="5"/>
        <v>89515.179600000003</v>
      </c>
      <c r="BO12" s="33">
        <f t="shared" si="6"/>
        <v>10746.12</v>
      </c>
      <c r="BP12" s="33">
        <f t="shared" si="7"/>
        <v>89515.179600000003</v>
      </c>
      <c r="BQ12" s="33"/>
      <c r="BR12" s="33">
        <f t="shared" si="8"/>
        <v>37994.660199999998</v>
      </c>
      <c r="BS12" s="13">
        <f t="shared" si="9"/>
        <v>227771.13939999999</v>
      </c>
      <c r="BT12" s="33">
        <f t="shared" si="10"/>
        <v>114007.8</v>
      </c>
      <c r="BU12" s="33">
        <f t="shared" si="11"/>
        <v>23143.5834</v>
      </c>
      <c r="BV12" s="33">
        <f t="shared" si="12"/>
        <v>39522.386408000006</v>
      </c>
      <c r="BW12" s="33">
        <f t="shared" si="13"/>
        <v>9500.65</v>
      </c>
      <c r="BX12" s="13">
        <f t="shared" si="14"/>
        <v>186174.41980800001</v>
      </c>
      <c r="BY12" s="39">
        <v>0</v>
      </c>
      <c r="BZ12" s="39">
        <v>125000</v>
      </c>
      <c r="CA12" s="33"/>
      <c r="CB12" s="33"/>
      <c r="CC12" s="33"/>
      <c r="CD12" s="33"/>
      <c r="CE12" s="33"/>
      <c r="CF12" s="33"/>
      <c r="CG12" s="33"/>
      <c r="CH12" s="40"/>
      <c r="CI12" s="33">
        <f t="shared" si="15"/>
        <v>0</v>
      </c>
      <c r="CJ12" s="14">
        <f t="shared" si="16"/>
        <v>112949.02914456002</v>
      </c>
      <c r="CK12" s="33">
        <f t="shared" si="17"/>
        <v>172650.65883525601</v>
      </c>
      <c r="CL12" s="33">
        <f t="shared" si="18"/>
        <v>1613557.5592080001</v>
      </c>
      <c r="CM12" s="33">
        <f t="shared" si="19"/>
        <v>1613557.5592080001</v>
      </c>
      <c r="CN12" s="33">
        <f t="shared" si="20"/>
        <v>32803.62517869864</v>
      </c>
      <c r="CO12" s="31">
        <v>-38003</v>
      </c>
      <c r="CP12" s="31">
        <v>-38003</v>
      </c>
      <c r="CQ12" s="31"/>
      <c r="CR12" s="31"/>
      <c r="CS12" s="31">
        <v>0</v>
      </c>
      <c r="CT12" s="31">
        <v>0</v>
      </c>
      <c r="CU12" s="59">
        <f t="shared" si="21"/>
        <v>1759310.2135312587</v>
      </c>
    </row>
    <row r="13" spans="1:100" s="8" customFormat="1" ht="15.6" customHeight="1" x14ac:dyDescent="0.2">
      <c r="A13" s="57" t="s">
        <v>187</v>
      </c>
      <c r="B13" s="42">
        <v>1130595741</v>
      </c>
      <c r="C13" s="33" t="s">
        <v>107</v>
      </c>
      <c r="D13" s="43" t="s">
        <v>63</v>
      </c>
      <c r="E13" s="43" t="s">
        <v>92</v>
      </c>
      <c r="F13" s="41" t="s">
        <v>108</v>
      </c>
      <c r="G13" s="41" t="s">
        <v>109</v>
      </c>
      <c r="H13" s="44">
        <v>6.96</v>
      </c>
      <c r="I13" s="34">
        <v>109.99</v>
      </c>
      <c r="J13" s="35">
        <v>1150000</v>
      </c>
      <c r="K13" s="34"/>
      <c r="L13" s="35"/>
      <c r="M13" s="35"/>
      <c r="N13" s="35"/>
      <c r="O13" s="35"/>
      <c r="P13" s="35">
        <v>0</v>
      </c>
      <c r="Q13" s="35">
        <v>0</v>
      </c>
      <c r="R13" s="34">
        <v>7</v>
      </c>
      <c r="S13" s="35">
        <v>91477</v>
      </c>
      <c r="T13" s="35">
        <v>0</v>
      </c>
      <c r="U13" s="35">
        <v>0</v>
      </c>
      <c r="V13" s="34">
        <v>0</v>
      </c>
      <c r="W13" s="35">
        <v>0</v>
      </c>
      <c r="X13" s="35">
        <v>0</v>
      </c>
      <c r="Y13" s="35">
        <v>0</v>
      </c>
      <c r="Z13" s="35"/>
      <c r="AA13" s="35"/>
      <c r="AB13" s="35">
        <v>0</v>
      </c>
      <c r="AC13" s="35">
        <v>0</v>
      </c>
      <c r="AD13" s="35">
        <v>0</v>
      </c>
      <c r="AE13" s="35">
        <v>0</v>
      </c>
      <c r="AF13" s="35"/>
      <c r="AG13" s="35"/>
      <c r="AH13" s="35"/>
      <c r="AI13" s="35"/>
      <c r="AJ13" s="35">
        <v>0</v>
      </c>
      <c r="AK13" s="35">
        <v>124547</v>
      </c>
      <c r="AL13" s="35"/>
      <c r="AM13" s="35"/>
      <c r="AN13" s="35"/>
      <c r="AO13" s="35"/>
      <c r="AP13" s="35"/>
      <c r="AQ13" s="35"/>
      <c r="AR13" s="35"/>
      <c r="AS13" s="35"/>
      <c r="AT13" s="35">
        <v>0</v>
      </c>
      <c r="AU13" s="35">
        <v>0</v>
      </c>
      <c r="AV13" s="35"/>
      <c r="AW13" s="35"/>
      <c r="AX13" s="35"/>
      <c r="AY13" s="35"/>
      <c r="AZ13" s="35"/>
      <c r="BA13" s="35"/>
      <c r="BB13" s="35">
        <v>0</v>
      </c>
      <c r="BC13" s="35">
        <v>0</v>
      </c>
      <c r="BD13" s="36"/>
      <c r="BE13" s="37"/>
      <c r="BF13" s="37"/>
      <c r="BG13" s="13">
        <f t="shared" si="0"/>
        <v>1366024</v>
      </c>
      <c r="BH13" s="38"/>
      <c r="BI13" s="38"/>
      <c r="BJ13" s="33">
        <f t="shared" si="1"/>
        <v>1150000</v>
      </c>
      <c r="BK13" s="33">
        <f t="shared" si="2"/>
        <v>1241477</v>
      </c>
      <c r="BL13" s="33">
        <f t="shared" si="3"/>
        <v>629807.12760000001</v>
      </c>
      <c r="BM13" s="13">
        <f t="shared" si="4"/>
        <v>1366024</v>
      </c>
      <c r="BN13" s="33">
        <f t="shared" si="5"/>
        <v>113789.79919999999</v>
      </c>
      <c r="BO13" s="33">
        <f t="shared" si="6"/>
        <v>13660.24</v>
      </c>
      <c r="BP13" s="33">
        <f t="shared" si="7"/>
        <v>113789.79919999999</v>
      </c>
      <c r="BQ13" s="33"/>
      <c r="BR13" s="33">
        <f t="shared" si="8"/>
        <v>49910</v>
      </c>
      <c r="BS13" s="13">
        <f t="shared" si="9"/>
        <v>291149.83840000001</v>
      </c>
      <c r="BT13" s="33">
        <f t="shared" si="10"/>
        <v>148977.24</v>
      </c>
      <c r="BU13" s="33">
        <f t="shared" si="11"/>
        <v>86406.799199999994</v>
      </c>
      <c r="BV13" s="33">
        <f t="shared" si="12"/>
        <v>51655.48</v>
      </c>
      <c r="BW13" s="33">
        <f t="shared" si="13"/>
        <v>12414.77</v>
      </c>
      <c r="BX13" s="13">
        <f t="shared" si="14"/>
        <v>299454.2892</v>
      </c>
      <c r="BY13" s="39">
        <v>39203</v>
      </c>
      <c r="BZ13" s="39">
        <v>0</v>
      </c>
      <c r="CA13" s="33"/>
      <c r="CB13" s="33"/>
      <c r="CC13" s="33"/>
      <c r="CD13" s="33"/>
      <c r="CE13" s="33"/>
      <c r="CF13" s="33"/>
      <c r="CG13" s="33"/>
      <c r="CH13" s="40"/>
      <c r="CI13" s="33">
        <f t="shared" si="15"/>
        <v>0</v>
      </c>
      <c r="CJ13" s="14">
        <f t="shared" si="16"/>
        <v>139708.17893200001</v>
      </c>
      <c r="CK13" s="33">
        <f t="shared" si="17"/>
        <v>213553.93065320002</v>
      </c>
      <c r="CL13" s="33">
        <f t="shared" si="18"/>
        <v>1995831.1276</v>
      </c>
      <c r="CM13" s="33">
        <f t="shared" si="19"/>
        <v>1995831.1276</v>
      </c>
      <c r="CN13" s="33">
        <f t="shared" si="20"/>
        <v>40575.246824108006</v>
      </c>
      <c r="CO13" s="31">
        <v>-49659</v>
      </c>
      <c r="CP13" s="31">
        <v>-49659</v>
      </c>
      <c r="CQ13" s="31"/>
      <c r="CR13" s="31"/>
      <c r="CS13" s="31">
        <v>0</v>
      </c>
      <c r="CT13" s="31">
        <v>0</v>
      </c>
      <c r="CU13" s="59">
        <f t="shared" si="21"/>
        <v>2176114.5533561083</v>
      </c>
    </row>
    <row r="14" spans="1:100" s="8" customFormat="1" ht="15.6" customHeight="1" x14ac:dyDescent="0.2">
      <c r="A14" s="57" t="s">
        <v>187</v>
      </c>
      <c r="B14" s="42">
        <v>1001671208</v>
      </c>
      <c r="C14" s="33" t="s">
        <v>83</v>
      </c>
      <c r="D14" s="43" t="s">
        <v>55</v>
      </c>
      <c r="E14" s="43" t="s">
        <v>67</v>
      </c>
      <c r="F14" s="41" t="s">
        <v>84</v>
      </c>
      <c r="G14" s="42" t="s">
        <v>85</v>
      </c>
      <c r="H14" s="44">
        <v>6.96</v>
      </c>
      <c r="I14" s="34">
        <v>109.99</v>
      </c>
      <c r="J14" s="35">
        <v>875453</v>
      </c>
      <c r="K14" s="34"/>
      <c r="L14" s="35"/>
      <c r="M14" s="35"/>
      <c r="N14" s="35"/>
      <c r="O14" s="35"/>
      <c r="P14" s="35">
        <v>0</v>
      </c>
      <c r="Q14" s="35">
        <v>0</v>
      </c>
      <c r="R14" s="34">
        <v>8</v>
      </c>
      <c r="S14" s="35">
        <v>79587</v>
      </c>
      <c r="T14" s="35">
        <v>2</v>
      </c>
      <c r="U14" s="35">
        <v>32631</v>
      </c>
      <c r="V14" s="34">
        <v>0</v>
      </c>
      <c r="W14" s="35">
        <v>0</v>
      </c>
      <c r="X14" s="35">
        <v>0</v>
      </c>
      <c r="Y14" s="35">
        <v>0</v>
      </c>
      <c r="Z14" s="35"/>
      <c r="AA14" s="35"/>
      <c r="AB14" s="35">
        <v>21</v>
      </c>
      <c r="AC14" s="35">
        <v>300837</v>
      </c>
      <c r="AD14" s="35">
        <v>0</v>
      </c>
      <c r="AE14" s="35">
        <v>0</v>
      </c>
      <c r="AF14" s="35"/>
      <c r="AG14" s="35"/>
      <c r="AH14" s="35"/>
      <c r="AI14" s="35"/>
      <c r="AJ14" s="35">
        <v>0</v>
      </c>
      <c r="AK14" s="35">
        <v>124547</v>
      </c>
      <c r="AL14" s="35"/>
      <c r="AM14" s="35"/>
      <c r="AN14" s="35"/>
      <c r="AO14" s="35"/>
      <c r="AP14" s="35"/>
      <c r="AQ14" s="35"/>
      <c r="AR14" s="35"/>
      <c r="AS14" s="35"/>
      <c r="AT14" s="35">
        <v>0</v>
      </c>
      <c r="AU14" s="35">
        <v>0</v>
      </c>
      <c r="AV14" s="35"/>
      <c r="AW14" s="35"/>
      <c r="AX14" s="35"/>
      <c r="AY14" s="35"/>
      <c r="AZ14" s="35"/>
      <c r="BA14" s="35"/>
      <c r="BB14" s="35">
        <v>0</v>
      </c>
      <c r="BC14" s="35">
        <v>0</v>
      </c>
      <c r="BD14" s="36"/>
      <c r="BE14" s="37"/>
      <c r="BF14" s="37"/>
      <c r="BG14" s="13">
        <f t="shared" si="0"/>
        <v>1413055</v>
      </c>
      <c r="BH14" s="38"/>
      <c r="BI14" s="38"/>
      <c r="BJ14" s="33">
        <f t="shared" si="1"/>
        <v>875453</v>
      </c>
      <c r="BK14" s="33">
        <f t="shared" si="2"/>
        <v>1288508</v>
      </c>
      <c r="BL14" s="33">
        <f t="shared" si="3"/>
        <v>597786.47640799999</v>
      </c>
      <c r="BM14" s="13">
        <f t="shared" si="4"/>
        <v>1413055</v>
      </c>
      <c r="BN14" s="33">
        <f t="shared" si="5"/>
        <v>117707.48149999999</v>
      </c>
      <c r="BO14" s="33">
        <f t="shared" si="6"/>
        <v>14130.550000000001</v>
      </c>
      <c r="BP14" s="33">
        <f t="shared" si="7"/>
        <v>117707.48149999999</v>
      </c>
      <c r="BQ14" s="33"/>
      <c r="BR14" s="33">
        <f t="shared" si="8"/>
        <v>37994.660199999998</v>
      </c>
      <c r="BS14" s="13">
        <f t="shared" si="9"/>
        <v>287540.17319999996</v>
      </c>
      <c r="BT14" s="33">
        <f t="shared" si="10"/>
        <v>154620.96</v>
      </c>
      <c r="BU14" s="33">
        <f t="shared" si="11"/>
        <v>89680.156799999997</v>
      </c>
      <c r="BV14" s="33">
        <f t="shared" si="12"/>
        <v>53060.106408</v>
      </c>
      <c r="BW14" s="33">
        <f t="shared" si="13"/>
        <v>12885.08</v>
      </c>
      <c r="BX14" s="13">
        <f t="shared" si="14"/>
        <v>310246.30320800003</v>
      </c>
      <c r="BY14" s="39">
        <v>0</v>
      </c>
      <c r="BZ14" s="39">
        <v>0</v>
      </c>
      <c r="CA14" s="33"/>
      <c r="CB14" s="33"/>
      <c r="CC14" s="33"/>
      <c r="CD14" s="33"/>
      <c r="CE14" s="33"/>
      <c r="CF14" s="33"/>
      <c r="CG14" s="33"/>
      <c r="CH14" s="40"/>
      <c r="CI14" s="33">
        <f t="shared" si="15"/>
        <v>0</v>
      </c>
      <c r="CJ14" s="14">
        <f t="shared" si="16"/>
        <v>140758.90334856001</v>
      </c>
      <c r="CK14" s="33">
        <f t="shared" si="17"/>
        <v>215160.03797565601</v>
      </c>
      <c r="CL14" s="33">
        <f t="shared" si="18"/>
        <v>2010841.4764080001</v>
      </c>
      <c r="CM14" s="33">
        <f t="shared" si="19"/>
        <v>2010841.4764080001</v>
      </c>
      <c r="CN14" s="33">
        <f t="shared" si="20"/>
        <v>40880.407215374646</v>
      </c>
      <c r="CO14" s="31">
        <v>-51540</v>
      </c>
      <c r="CP14" s="31">
        <v>-51540</v>
      </c>
      <c r="CQ14" s="31"/>
      <c r="CR14" s="31"/>
      <c r="CS14" s="31">
        <v>0</v>
      </c>
      <c r="CT14" s="31">
        <v>0</v>
      </c>
      <c r="CU14" s="59">
        <f t="shared" si="21"/>
        <v>2192480.7869719346</v>
      </c>
    </row>
    <row r="15" spans="1:100" s="8" customFormat="1" ht="15" customHeight="1" x14ac:dyDescent="0.2">
      <c r="A15" s="57" t="s">
        <v>187</v>
      </c>
      <c r="B15" s="42">
        <v>1112879190</v>
      </c>
      <c r="C15" s="33" t="s">
        <v>94</v>
      </c>
      <c r="D15" s="43" t="s">
        <v>60</v>
      </c>
      <c r="E15" s="43" t="s">
        <v>58</v>
      </c>
      <c r="F15" s="41" t="s">
        <v>97</v>
      </c>
      <c r="G15" s="41" t="s">
        <v>98</v>
      </c>
      <c r="H15" s="44">
        <v>2.4359999999999999</v>
      </c>
      <c r="I15" s="34">
        <v>95.33</v>
      </c>
      <c r="J15" s="35">
        <v>758726</v>
      </c>
      <c r="K15" s="34"/>
      <c r="L15" s="35"/>
      <c r="M15" s="35"/>
      <c r="N15" s="35"/>
      <c r="O15" s="35"/>
      <c r="P15" s="35">
        <v>0</v>
      </c>
      <c r="Q15" s="35">
        <v>0</v>
      </c>
      <c r="R15" s="34">
        <v>0</v>
      </c>
      <c r="S15" s="35">
        <v>0</v>
      </c>
      <c r="T15" s="35">
        <v>0</v>
      </c>
      <c r="U15" s="35">
        <v>0</v>
      </c>
      <c r="V15" s="34">
        <v>0</v>
      </c>
      <c r="W15" s="35">
        <v>0</v>
      </c>
      <c r="X15" s="35">
        <v>0</v>
      </c>
      <c r="Y15" s="35">
        <v>0</v>
      </c>
      <c r="Z15" s="35"/>
      <c r="AA15" s="35"/>
      <c r="AB15" s="35">
        <v>0</v>
      </c>
      <c r="AC15" s="35">
        <v>0</v>
      </c>
      <c r="AD15" s="35">
        <v>0</v>
      </c>
      <c r="AE15" s="35">
        <v>0</v>
      </c>
      <c r="AF15" s="35"/>
      <c r="AG15" s="35"/>
      <c r="AH15" s="35"/>
      <c r="AI15" s="35"/>
      <c r="AJ15" s="35">
        <v>0</v>
      </c>
      <c r="AK15" s="35">
        <v>107941</v>
      </c>
      <c r="AL15" s="35"/>
      <c r="AM15" s="35"/>
      <c r="AN15" s="35"/>
      <c r="AO15" s="35"/>
      <c r="AP15" s="35"/>
      <c r="AQ15" s="35"/>
      <c r="AR15" s="35"/>
      <c r="AS15" s="35"/>
      <c r="AT15" s="35">
        <v>14.66</v>
      </c>
      <c r="AU15" s="35">
        <v>116727</v>
      </c>
      <c r="AV15" s="35"/>
      <c r="AW15" s="35"/>
      <c r="AX15" s="35"/>
      <c r="AY15" s="35"/>
      <c r="AZ15" s="35"/>
      <c r="BA15" s="35"/>
      <c r="BB15" s="35">
        <v>0</v>
      </c>
      <c r="BC15" s="35">
        <v>0</v>
      </c>
      <c r="BD15" s="36"/>
      <c r="BE15" s="37"/>
      <c r="BF15" s="37"/>
      <c r="BG15" s="13">
        <f t="shared" si="0"/>
        <v>983394</v>
      </c>
      <c r="BH15" s="38"/>
      <c r="BI15" s="38"/>
      <c r="BJ15" s="33">
        <f t="shared" si="1"/>
        <v>875453</v>
      </c>
      <c r="BK15" s="33">
        <f t="shared" si="2"/>
        <v>875453</v>
      </c>
      <c r="BL15" s="33">
        <f t="shared" si="3"/>
        <v>500822.32236799999</v>
      </c>
      <c r="BM15" s="13">
        <f t="shared" si="4"/>
        <v>983394</v>
      </c>
      <c r="BN15" s="33">
        <f t="shared" si="5"/>
        <v>81916.720199999996</v>
      </c>
      <c r="BO15" s="33">
        <f t="shared" si="6"/>
        <v>9833.94</v>
      </c>
      <c r="BP15" s="33">
        <f t="shared" si="7"/>
        <v>81916.720199999996</v>
      </c>
      <c r="BQ15" s="33"/>
      <c r="BR15" s="33">
        <f t="shared" si="8"/>
        <v>37994.660199999998</v>
      </c>
      <c r="BS15" s="13">
        <f t="shared" si="9"/>
        <v>211662.04060000001</v>
      </c>
      <c r="BT15" s="33">
        <f t="shared" si="10"/>
        <v>105054.36</v>
      </c>
      <c r="BU15" s="33">
        <f t="shared" si="11"/>
        <v>18482.565359999997</v>
      </c>
      <c r="BV15" s="33">
        <f t="shared" si="12"/>
        <v>31868.826408000001</v>
      </c>
      <c r="BW15" s="33">
        <f t="shared" si="13"/>
        <v>8754.5300000000007</v>
      </c>
      <c r="BX15" s="13">
        <f t="shared" si="14"/>
        <v>164160.28176799999</v>
      </c>
      <c r="BY15" s="39">
        <v>125000</v>
      </c>
      <c r="BZ15" s="39">
        <v>0</v>
      </c>
      <c r="CA15" s="33"/>
      <c r="CB15" s="33"/>
      <c r="CC15" s="33"/>
      <c r="CD15" s="33"/>
      <c r="CE15" s="33"/>
      <c r="CF15" s="33"/>
      <c r="CG15" s="33"/>
      <c r="CH15" s="40"/>
      <c r="CI15" s="33">
        <f t="shared" si="15"/>
        <v>0</v>
      </c>
      <c r="CJ15" s="14">
        <f t="shared" si="16"/>
        <v>103895.14256576</v>
      </c>
      <c r="CK15" s="33">
        <f t="shared" si="17"/>
        <v>158811.146493376</v>
      </c>
      <c r="CL15" s="33">
        <f t="shared" si="18"/>
        <v>1484216.3223679999</v>
      </c>
      <c r="CM15" s="33">
        <f t="shared" si="19"/>
        <v>1484216.3223679999</v>
      </c>
      <c r="CN15" s="33">
        <f t="shared" si="20"/>
        <v>30174.117833741439</v>
      </c>
      <c r="CO15" s="31">
        <v>-35018</v>
      </c>
      <c r="CP15" s="31">
        <v>-35018</v>
      </c>
      <c r="CQ15" s="31"/>
      <c r="CR15" s="31"/>
      <c r="CS15" s="31">
        <v>0</v>
      </c>
      <c r="CT15" s="31">
        <v>0</v>
      </c>
      <c r="CU15" s="59">
        <f t="shared" si="21"/>
        <v>1618285.5827675015</v>
      </c>
    </row>
    <row r="16" spans="1:100" s="8" customFormat="1" ht="15.6" customHeight="1" x14ac:dyDescent="0.2">
      <c r="A16" s="57" t="s">
        <v>187</v>
      </c>
      <c r="B16" s="42">
        <v>1004110219</v>
      </c>
      <c r="C16" s="33" t="s">
        <v>70</v>
      </c>
      <c r="D16" s="43" t="s">
        <v>68</v>
      </c>
      <c r="E16" s="43" t="s">
        <v>57</v>
      </c>
      <c r="F16" s="41" t="s">
        <v>73</v>
      </c>
      <c r="G16" s="41" t="s">
        <v>74</v>
      </c>
      <c r="H16" s="44">
        <v>6.96</v>
      </c>
      <c r="I16" s="34">
        <v>109.99</v>
      </c>
      <c r="J16" s="35">
        <v>875453</v>
      </c>
      <c r="K16" s="34"/>
      <c r="L16" s="35"/>
      <c r="M16" s="35"/>
      <c r="N16" s="35"/>
      <c r="O16" s="35"/>
      <c r="P16" s="35">
        <v>0</v>
      </c>
      <c r="Q16" s="35">
        <v>0</v>
      </c>
      <c r="R16" s="34">
        <v>4</v>
      </c>
      <c r="S16" s="35">
        <v>39793</v>
      </c>
      <c r="T16" s="35">
        <v>3</v>
      </c>
      <c r="U16" s="35">
        <v>48946</v>
      </c>
      <c r="V16" s="34">
        <v>0</v>
      </c>
      <c r="W16" s="35">
        <v>0</v>
      </c>
      <c r="X16" s="35">
        <v>0</v>
      </c>
      <c r="Y16" s="35">
        <v>0</v>
      </c>
      <c r="Z16" s="35"/>
      <c r="AA16" s="35"/>
      <c r="AB16" s="35">
        <v>19</v>
      </c>
      <c r="AC16" s="35">
        <v>272186</v>
      </c>
      <c r="AD16" s="35">
        <v>0</v>
      </c>
      <c r="AE16" s="35">
        <v>0</v>
      </c>
      <c r="AF16" s="35"/>
      <c r="AG16" s="35"/>
      <c r="AH16" s="35"/>
      <c r="AI16" s="35"/>
      <c r="AJ16" s="35">
        <v>0</v>
      </c>
      <c r="AK16" s="35">
        <v>124547</v>
      </c>
      <c r="AL16" s="35"/>
      <c r="AM16" s="35"/>
      <c r="AN16" s="35"/>
      <c r="AO16" s="35"/>
      <c r="AP16" s="35"/>
      <c r="AQ16" s="35"/>
      <c r="AR16" s="35"/>
      <c r="AS16" s="35"/>
      <c r="AT16" s="35">
        <v>0</v>
      </c>
      <c r="AU16" s="35">
        <v>0</v>
      </c>
      <c r="AV16" s="35"/>
      <c r="AW16" s="35"/>
      <c r="AX16" s="35"/>
      <c r="AY16" s="35"/>
      <c r="AZ16" s="35"/>
      <c r="BA16" s="35"/>
      <c r="BB16" s="35">
        <v>0</v>
      </c>
      <c r="BC16" s="35">
        <v>0</v>
      </c>
      <c r="BD16" s="36"/>
      <c r="BE16" s="37"/>
      <c r="BF16" s="37"/>
      <c r="BG16" s="13">
        <f t="shared" si="0"/>
        <v>1360925</v>
      </c>
      <c r="BH16" s="38"/>
      <c r="BI16" s="38"/>
      <c r="BJ16" s="33">
        <f t="shared" si="1"/>
        <v>875453</v>
      </c>
      <c r="BK16" s="33">
        <f t="shared" si="2"/>
        <v>1236378</v>
      </c>
      <c r="BL16" s="33">
        <f t="shared" si="3"/>
        <v>576089.97040800005</v>
      </c>
      <c r="BM16" s="13">
        <f t="shared" si="4"/>
        <v>1360925</v>
      </c>
      <c r="BN16" s="33">
        <f t="shared" si="5"/>
        <v>113365.05250000001</v>
      </c>
      <c r="BO16" s="33">
        <f t="shared" si="6"/>
        <v>13609.25</v>
      </c>
      <c r="BP16" s="33">
        <f t="shared" si="7"/>
        <v>113365.05250000001</v>
      </c>
      <c r="BQ16" s="33"/>
      <c r="BR16" s="33">
        <f t="shared" si="8"/>
        <v>37994.660199999998</v>
      </c>
      <c r="BS16" s="13">
        <f t="shared" si="9"/>
        <v>278334.01520000002</v>
      </c>
      <c r="BT16" s="33">
        <f t="shared" si="10"/>
        <v>148365.35999999999</v>
      </c>
      <c r="BU16" s="33">
        <f t="shared" si="11"/>
        <v>86051.908800000005</v>
      </c>
      <c r="BV16" s="33">
        <f t="shared" si="12"/>
        <v>50974.906408000003</v>
      </c>
      <c r="BW16" s="33">
        <f t="shared" si="13"/>
        <v>12363.78</v>
      </c>
      <c r="BX16" s="13">
        <f t="shared" si="14"/>
        <v>297755.95520800003</v>
      </c>
      <c r="BY16" s="39">
        <v>0</v>
      </c>
      <c r="BZ16" s="39">
        <v>0</v>
      </c>
      <c r="CA16" s="33"/>
      <c r="CB16" s="33"/>
      <c r="CC16" s="33"/>
      <c r="CD16" s="33"/>
      <c r="CE16" s="33"/>
      <c r="CF16" s="33"/>
      <c r="CG16" s="33"/>
      <c r="CH16" s="40"/>
      <c r="CI16" s="33">
        <f t="shared" si="15"/>
        <v>0</v>
      </c>
      <c r="CJ16" s="14">
        <f t="shared" si="16"/>
        <v>135591.04792856003</v>
      </c>
      <c r="CK16" s="33">
        <f t="shared" si="17"/>
        <v>207260.60183365602</v>
      </c>
      <c r="CL16" s="33">
        <f t="shared" si="18"/>
        <v>1937014.9704080001</v>
      </c>
      <c r="CM16" s="33">
        <f t="shared" si="19"/>
        <v>1937014.9704080001</v>
      </c>
      <c r="CN16" s="33">
        <f t="shared" si="20"/>
        <v>39379.514348394645</v>
      </c>
      <c r="CO16" s="31">
        <v>-49455</v>
      </c>
      <c r="CP16" s="31">
        <v>-49455</v>
      </c>
      <c r="CQ16" s="31"/>
      <c r="CR16" s="31"/>
      <c r="CS16" s="31">
        <v>0</v>
      </c>
      <c r="CT16" s="31">
        <v>0</v>
      </c>
      <c r="CU16" s="59">
        <f t="shared" si="21"/>
        <v>2111985.5326849548</v>
      </c>
    </row>
    <row r="17" spans="1:99" s="8" customFormat="1" ht="15" customHeight="1" x14ac:dyDescent="0.2">
      <c r="A17" s="57" t="s">
        <v>187</v>
      </c>
      <c r="B17" s="42">
        <v>1143415198</v>
      </c>
      <c r="C17" s="33" t="s">
        <v>71</v>
      </c>
      <c r="D17" s="43" t="s">
        <v>72</v>
      </c>
      <c r="E17" s="43" t="s">
        <v>58</v>
      </c>
      <c r="F17" s="41" t="s">
        <v>75</v>
      </c>
      <c r="G17" s="41" t="s">
        <v>76</v>
      </c>
      <c r="H17" s="44">
        <v>6.96</v>
      </c>
      <c r="I17" s="34">
        <v>95.33</v>
      </c>
      <c r="J17" s="35">
        <v>801667</v>
      </c>
      <c r="K17" s="34"/>
      <c r="L17" s="35"/>
      <c r="M17" s="35"/>
      <c r="N17" s="35"/>
      <c r="O17" s="35"/>
      <c r="P17" s="35">
        <v>5</v>
      </c>
      <c r="Q17" s="35">
        <v>14716</v>
      </c>
      <c r="R17" s="34">
        <v>17.5</v>
      </c>
      <c r="S17" s="35">
        <v>183949</v>
      </c>
      <c r="T17" s="35">
        <v>2</v>
      </c>
      <c r="U17" s="35">
        <v>34477</v>
      </c>
      <c r="V17" s="34">
        <v>1</v>
      </c>
      <c r="W17" s="35">
        <v>14716</v>
      </c>
      <c r="X17" s="35">
        <v>0</v>
      </c>
      <c r="Y17" s="35">
        <v>0</v>
      </c>
      <c r="Z17" s="35"/>
      <c r="AA17" s="35"/>
      <c r="AB17" s="35">
        <v>8</v>
      </c>
      <c r="AC17" s="35">
        <v>121091</v>
      </c>
      <c r="AD17" s="35">
        <v>0</v>
      </c>
      <c r="AE17" s="35">
        <v>0</v>
      </c>
      <c r="AF17" s="35"/>
      <c r="AG17" s="35"/>
      <c r="AH17" s="35"/>
      <c r="AI17" s="35"/>
      <c r="AJ17" s="35">
        <v>0</v>
      </c>
      <c r="AK17" s="35">
        <v>107941</v>
      </c>
      <c r="AL17" s="35"/>
      <c r="AM17" s="35"/>
      <c r="AN17" s="35"/>
      <c r="AO17" s="35"/>
      <c r="AP17" s="35"/>
      <c r="AQ17" s="35"/>
      <c r="AR17" s="35"/>
      <c r="AS17" s="35"/>
      <c r="AT17" s="35">
        <v>14.66</v>
      </c>
      <c r="AU17" s="35">
        <v>116727</v>
      </c>
      <c r="AV17" s="35"/>
      <c r="AW17" s="35"/>
      <c r="AX17" s="35"/>
      <c r="AY17" s="35"/>
      <c r="AZ17" s="35"/>
      <c r="BA17" s="35"/>
      <c r="BB17" s="35">
        <v>0</v>
      </c>
      <c r="BC17" s="35">
        <v>0</v>
      </c>
      <c r="BD17" s="36"/>
      <c r="BE17" s="37"/>
      <c r="BF17" s="37"/>
      <c r="BG17" s="13">
        <f t="shared" si="0"/>
        <v>1395284</v>
      </c>
      <c r="BH17" s="38"/>
      <c r="BI17" s="38"/>
      <c r="BJ17" s="33">
        <f t="shared" si="1"/>
        <v>933110</v>
      </c>
      <c r="BK17" s="33">
        <f t="shared" si="2"/>
        <v>1287343</v>
      </c>
      <c r="BL17" s="33">
        <f t="shared" si="3"/>
        <v>634178.11095999996</v>
      </c>
      <c r="BM17" s="13">
        <f t="shared" si="4"/>
        <v>1395284</v>
      </c>
      <c r="BN17" s="33">
        <f t="shared" si="5"/>
        <v>116227.1572</v>
      </c>
      <c r="BO17" s="33">
        <f t="shared" si="6"/>
        <v>13952.84</v>
      </c>
      <c r="BP17" s="33">
        <f t="shared" si="7"/>
        <v>116227.1572</v>
      </c>
      <c r="BQ17" s="33"/>
      <c r="BR17" s="33">
        <f t="shared" si="8"/>
        <v>40496.974000000002</v>
      </c>
      <c r="BS17" s="13">
        <f t="shared" si="9"/>
        <v>286904.12839999999</v>
      </c>
      <c r="BT17" s="33">
        <f t="shared" si="10"/>
        <v>154481.16</v>
      </c>
      <c r="BU17" s="33">
        <f t="shared" si="11"/>
        <v>81474.873600000006</v>
      </c>
      <c r="BV17" s="33">
        <f t="shared" si="12"/>
        <v>48444.518960000001</v>
      </c>
      <c r="BW17" s="33">
        <f t="shared" si="13"/>
        <v>12873.43</v>
      </c>
      <c r="BX17" s="13">
        <f t="shared" si="14"/>
        <v>297273.98256000003</v>
      </c>
      <c r="BY17" s="39">
        <v>50000</v>
      </c>
      <c r="BZ17" s="39">
        <v>0</v>
      </c>
      <c r="CA17" s="33"/>
      <c r="CB17" s="33"/>
      <c r="CC17" s="33"/>
      <c r="CD17" s="33"/>
      <c r="CE17" s="33"/>
      <c r="CF17" s="33"/>
      <c r="CG17" s="33"/>
      <c r="CH17" s="40"/>
      <c r="CI17" s="33">
        <f t="shared" si="15"/>
        <v>0</v>
      </c>
      <c r="CJ17" s="14">
        <f t="shared" si="16"/>
        <v>142062.34776720003</v>
      </c>
      <c r="CK17" s="33">
        <f t="shared" si="17"/>
        <v>217152.44587272001</v>
      </c>
      <c r="CL17" s="33">
        <f t="shared" si="18"/>
        <v>2029462.1109600002</v>
      </c>
      <c r="CM17" s="33">
        <f t="shared" si="19"/>
        <v>2029462.1109600002</v>
      </c>
      <c r="CN17" s="33">
        <f t="shared" si="20"/>
        <v>41258.964715816801</v>
      </c>
      <c r="CO17" s="31">
        <v>-51494</v>
      </c>
      <c r="CP17" s="31">
        <v>-51494</v>
      </c>
      <c r="CQ17" s="31"/>
      <c r="CR17" s="31"/>
      <c r="CS17" s="31">
        <v>0</v>
      </c>
      <c r="CT17" s="31">
        <v>0</v>
      </c>
      <c r="CU17" s="59">
        <f t="shared" si="21"/>
        <v>2212783.4234430171</v>
      </c>
    </row>
    <row r="18" spans="1:99" s="8" customFormat="1" ht="15.75" x14ac:dyDescent="0.2">
      <c r="A18" s="57" t="s">
        <v>187</v>
      </c>
      <c r="B18" s="42">
        <v>1143879365</v>
      </c>
      <c r="C18" s="33" t="s">
        <v>80</v>
      </c>
      <c r="D18" s="43" t="s">
        <v>65</v>
      </c>
      <c r="E18" s="43" t="s">
        <v>58</v>
      </c>
      <c r="F18" s="41" t="s">
        <v>81</v>
      </c>
      <c r="G18" s="41" t="s">
        <v>82</v>
      </c>
      <c r="H18" s="44">
        <v>0.52200000000000002</v>
      </c>
      <c r="I18" s="34">
        <v>7.33</v>
      </c>
      <c r="J18" s="35">
        <v>61667</v>
      </c>
      <c r="K18" s="34"/>
      <c r="L18" s="35"/>
      <c r="M18" s="35"/>
      <c r="N18" s="35"/>
      <c r="O18" s="35"/>
      <c r="P18" s="35">
        <v>0</v>
      </c>
      <c r="Q18" s="35">
        <v>0</v>
      </c>
      <c r="R18" s="34">
        <v>0</v>
      </c>
      <c r="S18" s="35">
        <v>0</v>
      </c>
      <c r="T18" s="35">
        <v>0</v>
      </c>
      <c r="U18" s="35">
        <v>0</v>
      </c>
      <c r="V18" s="34">
        <v>0</v>
      </c>
      <c r="W18" s="35">
        <v>0</v>
      </c>
      <c r="X18" s="35">
        <v>0</v>
      </c>
      <c r="Y18" s="35">
        <v>0</v>
      </c>
      <c r="Z18" s="35"/>
      <c r="AA18" s="35"/>
      <c r="AB18" s="35">
        <v>0</v>
      </c>
      <c r="AC18" s="35">
        <v>0</v>
      </c>
      <c r="AD18" s="35">
        <v>0</v>
      </c>
      <c r="AE18" s="35">
        <v>0</v>
      </c>
      <c r="AF18" s="35"/>
      <c r="AG18" s="35"/>
      <c r="AH18" s="35"/>
      <c r="AI18" s="35"/>
      <c r="AJ18" s="35">
        <v>0</v>
      </c>
      <c r="AK18" s="35">
        <v>8303</v>
      </c>
      <c r="AL18" s="35"/>
      <c r="AM18" s="35"/>
      <c r="AN18" s="35"/>
      <c r="AO18" s="35"/>
      <c r="AP18" s="35"/>
      <c r="AQ18" s="35"/>
      <c r="AR18" s="35"/>
      <c r="AS18" s="35"/>
      <c r="AT18" s="35">
        <v>0</v>
      </c>
      <c r="AU18" s="35">
        <v>0</v>
      </c>
      <c r="AV18" s="35"/>
      <c r="AW18" s="35"/>
      <c r="AX18" s="35"/>
      <c r="AY18" s="35"/>
      <c r="AZ18" s="35"/>
      <c r="BA18" s="35"/>
      <c r="BB18" s="35">
        <v>102.66</v>
      </c>
      <c r="BC18" s="35">
        <v>817089</v>
      </c>
      <c r="BD18" s="36"/>
      <c r="BE18" s="37"/>
      <c r="BF18" s="37"/>
      <c r="BG18" s="13">
        <f t="shared" si="0"/>
        <v>887059</v>
      </c>
      <c r="BH18" s="38"/>
      <c r="BI18" s="38"/>
      <c r="BJ18" s="33">
        <f t="shared" si="1"/>
        <v>878756</v>
      </c>
      <c r="BK18" s="33">
        <f t="shared" si="2"/>
        <v>878756</v>
      </c>
      <c r="BL18" s="33">
        <f t="shared" si="3"/>
        <v>388345.011956</v>
      </c>
      <c r="BM18" s="13">
        <f t="shared" si="4"/>
        <v>887059</v>
      </c>
      <c r="BN18" s="33">
        <f t="shared" si="5"/>
        <v>73892.0147</v>
      </c>
      <c r="BO18" s="33">
        <f t="shared" si="6"/>
        <v>8870.59</v>
      </c>
      <c r="BP18" s="33">
        <f t="shared" si="7"/>
        <v>73892.0147</v>
      </c>
      <c r="BQ18" s="33"/>
      <c r="BR18" s="33">
        <f t="shared" si="8"/>
        <v>38138.010399999999</v>
      </c>
      <c r="BS18" s="13">
        <f t="shared" si="9"/>
        <v>194792.6298</v>
      </c>
      <c r="BT18" s="33">
        <f t="shared" si="10"/>
        <v>105450.72</v>
      </c>
      <c r="BU18" s="33">
        <f t="shared" si="11"/>
        <v>321.90174000000002</v>
      </c>
      <c r="BV18" s="33">
        <f t="shared" si="12"/>
        <v>3992.2004160000001</v>
      </c>
      <c r="BW18" s="33">
        <f t="shared" si="13"/>
        <v>8787.56</v>
      </c>
      <c r="BX18" s="13">
        <f t="shared" si="14"/>
        <v>118552.38215600001</v>
      </c>
      <c r="BY18" s="39">
        <v>75000</v>
      </c>
      <c r="BZ18" s="39">
        <v>0</v>
      </c>
      <c r="CA18" s="33"/>
      <c r="CB18" s="33"/>
      <c r="CC18" s="33"/>
      <c r="CD18" s="33"/>
      <c r="CE18" s="33"/>
      <c r="CF18" s="33"/>
      <c r="CG18" s="33"/>
      <c r="CH18" s="40"/>
      <c r="CI18" s="33">
        <f t="shared" si="15"/>
        <v>0</v>
      </c>
      <c r="CJ18" s="14">
        <f t="shared" si="16"/>
        <v>89278.280836920007</v>
      </c>
      <c r="CK18" s="33">
        <f t="shared" si="17"/>
        <v>54759.329279292004</v>
      </c>
      <c r="CL18" s="33">
        <f t="shared" si="18"/>
        <v>1275404.011956</v>
      </c>
      <c r="CM18" s="33">
        <f t="shared" si="19"/>
        <v>458315.011956</v>
      </c>
      <c r="CN18" s="33">
        <f t="shared" si="20"/>
        <v>10404.27256306548</v>
      </c>
      <c r="CO18" s="31">
        <v>-35150</v>
      </c>
      <c r="CP18" s="31">
        <v>-35150</v>
      </c>
      <c r="CQ18" s="31"/>
      <c r="CR18" s="31"/>
      <c r="CS18" s="31">
        <v>0</v>
      </c>
      <c r="CT18" s="31">
        <v>0</v>
      </c>
      <c r="CU18" s="59">
        <f t="shared" si="21"/>
        <v>557997.56535598554</v>
      </c>
    </row>
    <row r="19" spans="1:99" s="8" customFormat="1" ht="15.6" customHeight="1" x14ac:dyDescent="0.2">
      <c r="A19" s="57" t="s">
        <v>187</v>
      </c>
      <c r="B19" s="42">
        <v>1143934731</v>
      </c>
      <c r="C19" s="33" t="s">
        <v>103</v>
      </c>
      <c r="D19" s="43" t="s">
        <v>68</v>
      </c>
      <c r="E19" s="43" t="s">
        <v>58</v>
      </c>
      <c r="F19" s="41" t="s">
        <v>64</v>
      </c>
      <c r="G19" s="42" t="s">
        <v>106</v>
      </c>
      <c r="H19" s="44">
        <v>6.96</v>
      </c>
      <c r="I19" s="34">
        <v>109.99</v>
      </c>
      <c r="J19" s="35">
        <v>925000</v>
      </c>
      <c r="K19" s="34"/>
      <c r="L19" s="35"/>
      <c r="M19" s="35"/>
      <c r="N19" s="35"/>
      <c r="O19" s="35"/>
      <c r="P19" s="35">
        <v>5</v>
      </c>
      <c r="Q19" s="35">
        <v>14716</v>
      </c>
      <c r="R19" s="34">
        <v>21.5</v>
      </c>
      <c r="S19" s="35">
        <v>225994</v>
      </c>
      <c r="T19" s="35">
        <v>2</v>
      </c>
      <c r="U19" s="35">
        <v>34477</v>
      </c>
      <c r="V19" s="34">
        <v>0</v>
      </c>
      <c r="W19" s="35">
        <v>0</v>
      </c>
      <c r="X19" s="35">
        <v>4</v>
      </c>
      <c r="Y19" s="35">
        <v>85773</v>
      </c>
      <c r="Z19" s="35"/>
      <c r="AA19" s="35"/>
      <c r="AB19" s="35">
        <v>18.5</v>
      </c>
      <c r="AC19" s="35">
        <v>280023</v>
      </c>
      <c r="AD19" s="35">
        <v>3</v>
      </c>
      <c r="AE19" s="35">
        <v>54239</v>
      </c>
      <c r="AF19" s="35"/>
      <c r="AG19" s="35"/>
      <c r="AH19" s="35"/>
      <c r="AI19" s="35"/>
      <c r="AJ19" s="35">
        <v>0</v>
      </c>
      <c r="AK19" s="35">
        <v>124547</v>
      </c>
      <c r="AL19" s="35"/>
      <c r="AM19" s="35"/>
      <c r="AN19" s="35"/>
      <c r="AO19" s="35"/>
      <c r="AP19" s="35"/>
      <c r="AQ19" s="35"/>
      <c r="AR19" s="35"/>
      <c r="AS19" s="35"/>
      <c r="AT19" s="35">
        <v>0</v>
      </c>
      <c r="AU19" s="35">
        <v>0</v>
      </c>
      <c r="AV19" s="35"/>
      <c r="AW19" s="35"/>
      <c r="AX19" s="35"/>
      <c r="AY19" s="35"/>
      <c r="AZ19" s="35"/>
      <c r="BA19" s="35"/>
      <c r="BB19" s="35">
        <v>0</v>
      </c>
      <c r="BC19" s="35">
        <v>0</v>
      </c>
      <c r="BD19" s="36"/>
      <c r="BE19" s="37"/>
      <c r="BF19" s="37"/>
      <c r="BG19" s="13">
        <f t="shared" si="0"/>
        <v>1744769</v>
      </c>
      <c r="BH19" s="38"/>
      <c r="BI19" s="38"/>
      <c r="BJ19" s="33">
        <f t="shared" si="1"/>
        <v>939716</v>
      </c>
      <c r="BK19" s="33">
        <f t="shared" si="2"/>
        <v>1620222</v>
      </c>
      <c r="BL19" s="33">
        <f t="shared" si="3"/>
        <v>788746.417976</v>
      </c>
      <c r="BM19" s="13">
        <f t="shared" si="4"/>
        <v>1744769</v>
      </c>
      <c r="BN19" s="33">
        <f t="shared" si="5"/>
        <v>145339.25769999999</v>
      </c>
      <c r="BO19" s="33">
        <f t="shared" si="6"/>
        <v>17447.689999999999</v>
      </c>
      <c r="BP19" s="33">
        <f t="shared" si="7"/>
        <v>145339.25769999999</v>
      </c>
      <c r="BQ19" s="33"/>
      <c r="BR19" s="33">
        <f t="shared" si="8"/>
        <v>40783.674400000004</v>
      </c>
      <c r="BS19" s="13">
        <f t="shared" si="9"/>
        <v>348909.8798</v>
      </c>
      <c r="BT19" s="33">
        <f t="shared" si="10"/>
        <v>194426.63999999998</v>
      </c>
      <c r="BU19" s="33">
        <f t="shared" si="11"/>
        <v>112767.4512</v>
      </c>
      <c r="BV19" s="33">
        <f t="shared" si="12"/>
        <v>66440.226975999991</v>
      </c>
      <c r="BW19" s="33">
        <f t="shared" si="13"/>
        <v>16202.220000000001</v>
      </c>
      <c r="BX19" s="13">
        <f t="shared" si="14"/>
        <v>389836.538176</v>
      </c>
      <c r="BY19" s="39">
        <v>50000</v>
      </c>
      <c r="BZ19" s="39">
        <v>0</v>
      </c>
      <c r="CA19" s="33"/>
      <c r="CB19" s="33"/>
      <c r="CC19" s="33"/>
      <c r="CD19" s="33"/>
      <c r="CE19" s="33"/>
      <c r="CF19" s="33"/>
      <c r="CG19" s="33"/>
      <c r="CH19" s="40"/>
      <c r="CI19" s="33">
        <f t="shared" si="15"/>
        <v>0</v>
      </c>
      <c r="CJ19" s="14">
        <f t="shared" si="16"/>
        <v>177346.07925832001</v>
      </c>
      <c r="CK19" s="33">
        <f t="shared" si="17"/>
        <v>271086.14972343197</v>
      </c>
      <c r="CL19" s="33">
        <f t="shared" si="18"/>
        <v>2533515.4179759999</v>
      </c>
      <c r="CM19" s="33">
        <f t="shared" si="19"/>
        <v>2533515.4179759999</v>
      </c>
      <c r="CN19" s="33">
        <f t="shared" si="20"/>
        <v>51506.368447452078</v>
      </c>
      <c r="CO19" s="31">
        <v>-64809</v>
      </c>
      <c r="CP19" s="31">
        <v>-64809</v>
      </c>
      <c r="CQ19" s="31"/>
      <c r="CR19" s="31"/>
      <c r="CS19" s="31">
        <v>0</v>
      </c>
      <c r="CT19" s="31">
        <v>0</v>
      </c>
      <c r="CU19" s="59">
        <f t="shared" si="21"/>
        <v>2762367.8656817717</v>
      </c>
    </row>
    <row r="20" spans="1:99" s="8" customFormat="1" ht="15.6" customHeight="1" x14ac:dyDescent="0.2">
      <c r="A20" s="57" t="s">
        <v>187</v>
      </c>
      <c r="B20" s="42">
        <v>1021395413</v>
      </c>
      <c r="C20" s="33" t="s">
        <v>102</v>
      </c>
      <c r="D20" s="43" t="s">
        <v>93</v>
      </c>
      <c r="E20" s="43" t="s">
        <v>57</v>
      </c>
      <c r="F20" s="41" t="s">
        <v>104</v>
      </c>
      <c r="G20" s="41" t="s">
        <v>105</v>
      </c>
      <c r="H20" s="44">
        <v>0.52200000000000002</v>
      </c>
      <c r="I20" s="34">
        <v>109.99</v>
      </c>
      <c r="J20" s="35">
        <v>875453</v>
      </c>
      <c r="K20" s="34"/>
      <c r="L20" s="35"/>
      <c r="M20" s="35"/>
      <c r="N20" s="35"/>
      <c r="O20" s="35"/>
      <c r="P20" s="35">
        <v>0</v>
      </c>
      <c r="Q20" s="35">
        <v>0</v>
      </c>
      <c r="R20" s="34">
        <v>0</v>
      </c>
      <c r="S20" s="35">
        <v>0</v>
      </c>
      <c r="T20" s="35">
        <v>0</v>
      </c>
      <c r="U20" s="35">
        <v>0</v>
      </c>
      <c r="V20" s="34">
        <v>0</v>
      </c>
      <c r="W20" s="35">
        <v>0</v>
      </c>
      <c r="X20" s="35">
        <v>0</v>
      </c>
      <c r="Y20" s="35">
        <v>0</v>
      </c>
      <c r="Z20" s="35"/>
      <c r="AA20" s="35"/>
      <c r="AB20" s="35">
        <v>0</v>
      </c>
      <c r="AC20" s="35">
        <v>0</v>
      </c>
      <c r="AD20" s="35">
        <v>0</v>
      </c>
      <c r="AE20" s="35">
        <v>0</v>
      </c>
      <c r="AF20" s="35"/>
      <c r="AG20" s="35"/>
      <c r="AH20" s="35"/>
      <c r="AI20" s="35"/>
      <c r="AJ20" s="35">
        <v>0</v>
      </c>
      <c r="AK20" s="35">
        <v>124547</v>
      </c>
      <c r="AL20" s="35"/>
      <c r="AM20" s="35"/>
      <c r="AN20" s="35"/>
      <c r="AO20" s="35"/>
      <c r="AP20" s="35"/>
      <c r="AQ20" s="35"/>
      <c r="AR20" s="35"/>
      <c r="AS20" s="35"/>
      <c r="AT20" s="35">
        <v>0</v>
      </c>
      <c r="AU20" s="35">
        <v>0</v>
      </c>
      <c r="AV20" s="35"/>
      <c r="AW20" s="35"/>
      <c r="AX20" s="35"/>
      <c r="AY20" s="35"/>
      <c r="AZ20" s="35"/>
      <c r="BA20" s="35"/>
      <c r="BB20" s="35">
        <v>0</v>
      </c>
      <c r="BC20" s="35">
        <v>0</v>
      </c>
      <c r="BD20" s="36"/>
      <c r="BE20" s="37"/>
      <c r="BF20" s="37"/>
      <c r="BG20" s="13">
        <f t="shared" si="0"/>
        <v>1000000</v>
      </c>
      <c r="BH20" s="38"/>
      <c r="BI20" s="38"/>
      <c r="BJ20" s="33">
        <f t="shared" si="1"/>
        <v>875453</v>
      </c>
      <c r="BK20" s="33">
        <f t="shared" si="2"/>
        <v>875453</v>
      </c>
      <c r="BL20" s="33">
        <f t="shared" si="3"/>
        <v>419511.321268</v>
      </c>
      <c r="BM20" s="13">
        <f t="shared" si="4"/>
        <v>1000000</v>
      </c>
      <c r="BN20" s="33">
        <f t="shared" si="5"/>
        <v>83300</v>
      </c>
      <c r="BO20" s="33">
        <f t="shared" si="6"/>
        <v>10000</v>
      </c>
      <c r="BP20" s="33">
        <f t="shared" si="7"/>
        <v>83300</v>
      </c>
      <c r="BQ20" s="33"/>
      <c r="BR20" s="33">
        <f t="shared" si="8"/>
        <v>37994.660199999998</v>
      </c>
      <c r="BS20" s="13">
        <f t="shared" si="9"/>
        <v>214594.66019999998</v>
      </c>
      <c r="BT20" s="33">
        <f t="shared" si="10"/>
        <v>105054.36</v>
      </c>
      <c r="BU20" s="33">
        <f t="shared" si="11"/>
        <v>4569.8646600000002</v>
      </c>
      <c r="BV20" s="33">
        <f t="shared" si="12"/>
        <v>36537.906408000003</v>
      </c>
      <c r="BW20" s="33">
        <f t="shared" si="13"/>
        <v>8754.5300000000007</v>
      </c>
      <c r="BX20" s="13">
        <f t="shared" si="14"/>
        <v>154916.66106800002</v>
      </c>
      <c r="BY20" s="39">
        <v>50000</v>
      </c>
      <c r="BZ20" s="39">
        <v>0</v>
      </c>
      <c r="CA20" s="33"/>
      <c r="CB20" s="33"/>
      <c r="CC20" s="33"/>
      <c r="CD20" s="33"/>
      <c r="CE20" s="33"/>
      <c r="CF20" s="33"/>
      <c r="CG20" s="33"/>
      <c r="CH20" s="40"/>
      <c r="CI20" s="33">
        <f t="shared" si="15"/>
        <v>0</v>
      </c>
      <c r="CJ20" s="14">
        <f t="shared" si="16"/>
        <v>99365.792488760024</v>
      </c>
      <c r="CK20" s="33">
        <f t="shared" si="17"/>
        <v>151887.71137567604</v>
      </c>
      <c r="CL20" s="33">
        <f t="shared" si="18"/>
        <v>1419511.3212680002</v>
      </c>
      <c r="CM20" s="33">
        <f t="shared" si="19"/>
        <v>1419511.3212680002</v>
      </c>
      <c r="CN20" s="33">
        <f t="shared" si="20"/>
        <v>28858.665161378449</v>
      </c>
      <c r="CO20" s="31">
        <v>-35018</v>
      </c>
      <c r="CP20" s="31">
        <v>-35018</v>
      </c>
      <c r="CQ20" s="31"/>
      <c r="CR20" s="31"/>
      <c r="CS20" s="31">
        <v>-46800</v>
      </c>
      <c r="CT20" s="31">
        <v>-16010</v>
      </c>
      <c r="CU20" s="59">
        <f t="shared" si="21"/>
        <v>1547735.7789181387</v>
      </c>
    </row>
    <row r="21" spans="1:99" s="8" customFormat="1" ht="15" customHeight="1" x14ac:dyDescent="0.2">
      <c r="A21" s="57" t="s">
        <v>187</v>
      </c>
      <c r="B21" s="42">
        <v>13853982</v>
      </c>
      <c r="C21" s="33" t="s">
        <v>95</v>
      </c>
      <c r="D21" s="43" t="s">
        <v>60</v>
      </c>
      <c r="E21" s="43" t="s">
        <v>58</v>
      </c>
      <c r="F21" s="41" t="s">
        <v>89</v>
      </c>
      <c r="G21" s="41" t="s">
        <v>96</v>
      </c>
      <c r="H21" s="44">
        <v>6.96</v>
      </c>
      <c r="I21" s="34">
        <v>109.99</v>
      </c>
      <c r="J21" s="35">
        <v>875453</v>
      </c>
      <c r="K21" s="34"/>
      <c r="L21" s="35"/>
      <c r="M21" s="35"/>
      <c r="N21" s="35"/>
      <c r="O21" s="35"/>
      <c r="P21" s="35">
        <v>0</v>
      </c>
      <c r="Q21" s="35">
        <v>0</v>
      </c>
      <c r="R21" s="34">
        <v>8</v>
      </c>
      <c r="S21" s="35">
        <v>79587</v>
      </c>
      <c r="T21" s="35">
        <v>0</v>
      </c>
      <c r="U21" s="35">
        <v>0</v>
      </c>
      <c r="V21" s="34">
        <v>0</v>
      </c>
      <c r="W21" s="35">
        <v>0</v>
      </c>
      <c r="X21" s="35">
        <v>0</v>
      </c>
      <c r="Y21" s="35">
        <v>0</v>
      </c>
      <c r="Z21" s="35"/>
      <c r="AA21" s="35"/>
      <c r="AB21" s="35">
        <v>0</v>
      </c>
      <c r="AC21" s="35">
        <v>0</v>
      </c>
      <c r="AD21" s="35">
        <v>0</v>
      </c>
      <c r="AE21" s="35">
        <v>0</v>
      </c>
      <c r="AF21" s="35"/>
      <c r="AG21" s="35"/>
      <c r="AH21" s="35"/>
      <c r="AI21" s="35"/>
      <c r="AJ21" s="35">
        <v>0</v>
      </c>
      <c r="AK21" s="35">
        <v>124547</v>
      </c>
      <c r="AL21" s="35"/>
      <c r="AM21" s="35"/>
      <c r="AN21" s="35"/>
      <c r="AO21" s="35"/>
      <c r="AP21" s="35"/>
      <c r="AQ21" s="35"/>
      <c r="AR21" s="35"/>
      <c r="AS21" s="35"/>
      <c r="AT21" s="35">
        <v>0</v>
      </c>
      <c r="AU21" s="35">
        <v>0</v>
      </c>
      <c r="AV21" s="35"/>
      <c r="AW21" s="35"/>
      <c r="AX21" s="35"/>
      <c r="AY21" s="35"/>
      <c r="AZ21" s="35"/>
      <c r="BA21" s="35"/>
      <c r="BB21" s="35">
        <v>0</v>
      </c>
      <c r="BC21" s="35">
        <v>0</v>
      </c>
      <c r="BD21" s="36"/>
      <c r="BE21" s="37"/>
      <c r="BF21" s="37"/>
      <c r="BG21" s="13">
        <f t="shared" si="0"/>
        <v>1079587</v>
      </c>
      <c r="BH21" s="38"/>
      <c r="BI21" s="38"/>
      <c r="BJ21" s="33">
        <f t="shared" si="1"/>
        <v>875453</v>
      </c>
      <c r="BK21" s="33">
        <f t="shared" si="2"/>
        <v>955040</v>
      </c>
      <c r="BL21" s="33">
        <f t="shared" si="3"/>
        <v>720197.09480800002</v>
      </c>
      <c r="BM21" s="13">
        <f t="shared" si="4"/>
        <v>1079587</v>
      </c>
      <c r="BN21" s="33">
        <f t="shared" si="5"/>
        <v>89929.597099999999</v>
      </c>
      <c r="BO21" s="33">
        <f t="shared" si="6"/>
        <v>10795.87</v>
      </c>
      <c r="BP21" s="33">
        <f t="shared" si="7"/>
        <v>89929.597099999999</v>
      </c>
      <c r="BQ21" s="33"/>
      <c r="BR21" s="33">
        <f t="shared" si="8"/>
        <v>37994.660199999998</v>
      </c>
      <c r="BS21" s="13">
        <f t="shared" si="9"/>
        <v>228649.72440000001</v>
      </c>
      <c r="BT21" s="33">
        <f t="shared" si="10"/>
        <v>114604.8</v>
      </c>
      <c r="BU21" s="33">
        <f t="shared" si="11"/>
        <v>66470.784</v>
      </c>
      <c r="BV21" s="33">
        <f t="shared" si="12"/>
        <v>39721.386408000006</v>
      </c>
      <c r="BW21" s="33">
        <f t="shared" si="13"/>
        <v>9550.4</v>
      </c>
      <c r="BX21" s="13">
        <f t="shared" si="14"/>
        <v>230347.37040799999</v>
      </c>
      <c r="BY21" s="39">
        <v>261200</v>
      </c>
      <c r="BZ21" s="39">
        <v>0</v>
      </c>
      <c r="CA21" s="33"/>
      <c r="CB21" s="33"/>
      <c r="CC21" s="33"/>
      <c r="CD21" s="33"/>
      <c r="CE21" s="33"/>
      <c r="CF21" s="33"/>
      <c r="CG21" s="33"/>
      <c r="CH21" s="40"/>
      <c r="CI21" s="33">
        <f t="shared" si="15"/>
        <v>0</v>
      </c>
      <c r="CJ21" s="14">
        <f t="shared" si="16"/>
        <v>125984.88663656001</v>
      </c>
      <c r="CK21" s="33">
        <f t="shared" si="17"/>
        <v>192576.898144456</v>
      </c>
      <c r="CL21" s="33">
        <f t="shared" si="18"/>
        <v>1799784.0948079999</v>
      </c>
      <c r="CM21" s="33">
        <f t="shared" si="19"/>
        <v>1799784.0948079999</v>
      </c>
      <c r="CN21" s="33">
        <f t="shared" si="20"/>
        <v>36589.610647446636</v>
      </c>
      <c r="CO21" s="31">
        <v>-38202</v>
      </c>
      <c r="CP21" s="31">
        <v>-38202</v>
      </c>
      <c r="CQ21" s="31"/>
      <c r="CR21" s="31"/>
      <c r="CS21" s="31">
        <v>0</v>
      </c>
      <c r="CT21" s="31">
        <v>0</v>
      </c>
      <c r="CU21" s="59">
        <f t="shared" si="21"/>
        <v>1962358.5920920067</v>
      </c>
    </row>
    <row r="22" spans="1:99" s="8" customFormat="1" ht="15.6" customHeight="1" x14ac:dyDescent="0.2">
      <c r="A22" s="57" t="s">
        <v>187</v>
      </c>
      <c r="B22" s="42">
        <v>6393451</v>
      </c>
      <c r="C22" s="33" t="s">
        <v>88</v>
      </c>
      <c r="D22" s="43" t="s">
        <v>63</v>
      </c>
      <c r="E22" s="43" t="s">
        <v>58</v>
      </c>
      <c r="F22" s="41" t="s">
        <v>90</v>
      </c>
      <c r="G22" s="41" t="s">
        <v>91</v>
      </c>
      <c r="H22" s="44">
        <v>6.96</v>
      </c>
      <c r="I22" s="34">
        <v>109.99</v>
      </c>
      <c r="J22" s="35">
        <v>1150000</v>
      </c>
      <c r="K22" s="34"/>
      <c r="L22" s="35"/>
      <c r="M22" s="35"/>
      <c r="N22" s="35"/>
      <c r="O22" s="35"/>
      <c r="P22" s="35">
        <v>0</v>
      </c>
      <c r="Q22" s="35">
        <v>0</v>
      </c>
      <c r="R22" s="34">
        <v>0</v>
      </c>
      <c r="S22" s="35">
        <v>0</v>
      </c>
      <c r="T22" s="35">
        <v>0</v>
      </c>
      <c r="U22" s="35">
        <v>0</v>
      </c>
      <c r="V22" s="34">
        <v>0</v>
      </c>
      <c r="W22" s="35">
        <v>0</v>
      </c>
      <c r="X22" s="35">
        <v>0</v>
      </c>
      <c r="Y22" s="35">
        <v>0</v>
      </c>
      <c r="Z22" s="35"/>
      <c r="AA22" s="35"/>
      <c r="AB22" s="35">
        <v>0</v>
      </c>
      <c r="AC22" s="35">
        <v>0</v>
      </c>
      <c r="AD22" s="35">
        <v>0</v>
      </c>
      <c r="AE22" s="35">
        <v>0</v>
      </c>
      <c r="AF22" s="35"/>
      <c r="AG22" s="35"/>
      <c r="AH22" s="35"/>
      <c r="AI22" s="35"/>
      <c r="AJ22" s="35">
        <v>0</v>
      </c>
      <c r="AK22" s="35">
        <v>124547</v>
      </c>
      <c r="AL22" s="35"/>
      <c r="AM22" s="35"/>
      <c r="AN22" s="35"/>
      <c r="AO22" s="35"/>
      <c r="AP22" s="35"/>
      <c r="AQ22" s="35"/>
      <c r="AR22" s="35"/>
      <c r="AS22" s="35"/>
      <c r="AT22" s="35">
        <v>0</v>
      </c>
      <c r="AU22" s="35">
        <v>0</v>
      </c>
      <c r="AV22" s="35"/>
      <c r="AW22" s="35"/>
      <c r="AX22" s="35"/>
      <c r="AY22" s="35"/>
      <c r="AZ22" s="35"/>
      <c r="BA22" s="35"/>
      <c r="BB22" s="35">
        <v>0</v>
      </c>
      <c r="BC22" s="35">
        <v>0</v>
      </c>
      <c r="BD22" s="36"/>
      <c r="BE22" s="37"/>
      <c r="BF22" s="37"/>
      <c r="BG22" s="13">
        <f t="shared" si="0"/>
        <v>1274547</v>
      </c>
      <c r="BH22" s="38"/>
      <c r="BI22" s="38"/>
      <c r="BJ22" s="33">
        <f t="shared" si="1"/>
        <v>1150000</v>
      </c>
      <c r="BK22" s="33">
        <f t="shared" si="2"/>
        <v>1150000</v>
      </c>
      <c r="BL22" s="33">
        <f t="shared" si="3"/>
        <v>802531.40020000003</v>
      </c>
      <c r="BM22" s="13">
        <f t="shared" si="4"/>
        <v>1274547</v>
      </c>
      <c r="BN22" s="33">
        <f t="shared" si="5"/>
        <v>106169.7651</v>
      </c>
      <c r="BO22" s="33">
        <f t="shared" si="6"/>
        <v>12745.470000000001</v>
      </c>
      <c r="BP22" s="33">
        <f t="shared" si="7"/>
        <v>106169.7651</v>
      </c>
      <c r="BQ22" s="33"/>
      <c r="BR22" s="33">
        <f t="shared" si="8"/>
        <v>49910</v>
      </c>
      <c r="BS22" s="13">
        <f t="shared" si="9"/>
        <v>274995.00020000001</v>
      </c>
      <c r="BT22" s="33">
        <f t="shared" si="10"/>
        <v>138000</v>
      </c>
      <c r="BU22" s="33">
        <f t="shared" si="11"/>
        <v>80040</v>
      </c>
      <c r="BV22" s="33">
        <f t="shared" si="12"/>
        <v>47996.4</v>
      </c>
      <c r="BW22" s="33">
        <f t="shared" si="13"/>
        <v>11500</v>
      </c>
      <c r="BX22" s="13">
        <f t="shared" si="14"/>
        <v>277536.40000000002</v>
      </c>
      <c r="BY22" s="39">
        <v>250000</v>
      </c>
      <c r="BZ22" s="39">
        <v>0</v>
      </c>
      <c r="CA22" s="33"/>
      <c r="CB22" s="33"/>
      <c r="CC22" s="33"/>
      <c r="CD22" s="33"/>
      <c r="CE22" s="33"/>
      <c r="CF22" s="33"/>
      <c r="CG22" s="33"/>
      <c r="CH22" s="40"/>
      <c r="CI22" s="33">
        <f t="shared" si="15"/>
        <v>0</v>
      </c>
      <c r="CJ22" s="14">
        <f t="shared" si="16"/>
        <v>145395.488014</v>
      </c>
      <c r="CK22" s="33">
        <f t="shared" si="17"/>
        <v>222247.3888214</v>
      </c>
      <c r="CL22" s="33">
        <f t="shared" si="18"/>
        <v>2077078.4002</v>
      </c>
      <c r="CM22" s="33">
        <f t="shared" si="19"/>
        <v>2077078.4002</v>
      </c>
      <c r="CN22" s="33">
        <f t="shared" si="20"/>
        <v>42227.003876066003</v>
      </c>
      <c r="CO22" s="31">
        <v>-46000</v>
      </c>
      <c r="CP22" s="31">
        <v>-46000</v>
      </c>
      <c r="CQ22" s="31"/>
      <c r="CR22" s="31"/>
      <c r="CS22" s="31">
        <v>0</v>
      </c>
      <c r="CT22" s="31">
        <v>0</v>
      </c>
      <c r="CU22" s="59">
        <f t="shared" si="21"/>
        <v>2264700.8920900659</v>
      </c>
    </row>
    <row r="23" spans="1:99" s="8" customFormat="1" ht="15" customHeight="1" x14ac:dyDescent="0.2">
      <c r="A23" s="57" t="s">
        <v>187</v>
      </c>
      <c r="B23" s="42">
        <v>1033677441</v>
      </c>
      <c r="C23" s="33" t="s">
        <v>114</v>
      </c>
      <c r="D23" s="43" t="s">
        <v>115</v>
      </c>
      <c r="E23" s="43" t="s">
        <v>57</v>
      </c>
      <c r="F23" s="41" t="s">
        <v>117</v>
      </c>
      <c r="G23" s="41" t="s">
        <v>118</v>
      </c>
      <c r="H23" s="44">
        <v>6.96</v>
      </c>
      <c r="I23" s="34">
        <v>109.99</v>
      </c>
      <c r="J23" s="35">
        <v>875453</v>
      </c>
      <c r="K23" s="34"/>
      <c r="L23" s="35"/>
      <c r="M23" s="35"/>
      <c r="N23" s="35"/>
      <c r="O23" s="35"/>
      <c r="P23" s="35">
        <v>0</v>
      </c>
      <c r="Q23" s="35">
        <v>0</v>
      </c>
      <c r="R23" s="34">
        <v>0</v>
      </c>
      <c r="S23" s="35">
        <v>0</v>
      </c>
      <c r="T23" s="35">
        <v>0</v>
      </c>
      <c r="U23" s="35">
        <v>0</v>
      </c>
      <c r="V23" s="34">
        <v>0</v>
      </c>
      <c r="W23" s="35">
        <v>0</v>
      </c>
      <c r="X23" s="35">
        <v>0</v>
      </c>
      <c r="Y23" s="35">
        <v>0</v>
      </c>
      <c r="Z23" s="35"/>
      <c r="AA23" s="35"/>
      <c r="AB23" s="35">
        <v>4.5</v>
      </c>
      <c r="AC23" s="35">
        <v>64465</v>
      </c>
      <c r="AD23" s="35">
        <v>0</v>
      </c>
      <c r="AE23" s="35">
        <v>0</v>
      </c>
      <c r="AF23" s="35"/>
      <c r="AG23" s="35"/>
      <c r="AH23" s="35"/>
      <c r="AI23" s="35"/>
      <c r="AJ23" s="35">
        <v>0</v>
      </c>
      <c r="AK23" s="35">
        <v>124547</v>
      </c>
      <c r="AL23" s="35"/>
      <c r="AM23" s="35"/>
      <c r="AN23" s="35"/>
      <c r="AO23" s="35"/>
      <c r="AP23" s="35"/>
      <c r="AQ23" s="35"/>
      <c r="AR23" s="35"/>
      <c r="AS23" s="35"/>
      <c r="AT23" s="35">
        <v>0</v>
      </c>
      <c r="AU23" s="35">
        <v>0</v>
      </c>
      <c r="AV23" s="35"/>
      <c r="AW23" s="35"/>
      <c r="AX23" s="35"/>
      <c r="AY23" s="35"/>
      <c r="AZ23" s="35"/>
      <c r="BA23" s="35"/>
      <c r="BB23" s="35">
        <v>0</v>
      </c>
      <c r="BC23" s="35">
        <v>0</v>
      </c>
      <c r="BD23" s="36"/>
      <c r="BE23" s="37"/>
      <c r="BF23" s="37"/>
      <c r="BG23" s="13">
        <f t="shared" si="0"/>
        <v>1064465</v>
      </c>
      <c r="BH23" s="38"/>
      <c r="BI23" s="38"/>
      <c r="BJ23" s="33">
        <f t="shared" si="1"/>
        <v>875453</v>
      </c>
      <c r="BK23" s="33">
        <f t="shared" si="2"/>
        <v>939918</v>
      </c>
      <c r="BL23" s="33">
        <f t="shared" si="3"/>
        <v>452703.31840799999</v>
      </c>
      <c r="BM23" s="13">
        <f t="shared" si="4"/>
        <v>1064465</v>
      </c>
      <c r="BN23" s="33">
        <f t="shared" si="5"/>
        <v>88669.934500000003</v>
      </c>
      <c r="BO23" s="33">
        <f t="shared" si="6"/>
        <v>10644.65</v>
      </c>
      <c r="BP23" s="33">
        <f t="shared" si="7"/>
        <v>88669.934500000003</v>
      </c>
      <c r="BQ23" s="33"/>
      <c r="BR23" s="33">
        <f t="shared" si="8"/>
        <v>37994.660199999998</v>
      </c>
      <c r="BS23" s="13">
        <f t="shared" si="9"/>
        <v>225979.17920000001</v>
      </c>
      <c r="BT23" s="33">
        <f t="shared" si="10"/>
        <v>112790.15999999999</v>
      </c>
      <c r="BU23" s="33">
        <f t="shared" si="11"/>
        <v>65418.292800000003</v>
      </c>
      <c r="BV23" s="33">
        <f t="shared" si="12"/>
        <v>39116.506408000001</v>
      </c>
      <c r="BW23" s="33">
        <f t="shared" si="13"/>
        <v>9399.18</v>
      </c>
      <c r="BX23" s="13">
        <f t="shared" si="14"/>
        <v>226724.13920799998</v>
      </c>
      <c r="BY23" s="39">
        <v>0</v>
      </c>
      <c r="BZ23" s="39">
        <v>0</v>
      </c>
      <c r="CA23" s="33"/>
      <c r="CB23" s="33"/>
      <c r="CC23" s="33"/>
      <c r="CD23" s="33"/>
      <c r="CE23" s="33"/>
      <c r="CF23" s="33"/>
      <c r="CG23" s="33"/>
      <c r="CH23" s="40"/>
      <c r="CI23" s="33">
        <f t="shared" si="15"/>
        <v>0</v>
      </c>
      <c r="CJ23" s="14">
        <f t="shared" si="16"/>
        <v>106201.78228856002</v>
      </c>
      <c r="CK23" s="33">
        <f t="shared" si="17"/>
        <v>162337.01006965601</v>
      </c>
      <c r="CL23" s="33">
        <f t="shared" si="18"/>
        <v>1517168.3184080001</v>
      </c>
      <c r="CM23" s="33">
        <f t="shared" si="19"/>
        <v>1517168.3184080001</v>
      </c>
      <c r="CN23" s="33">
        <f t="shared" si="20"/>
        <v>30844.031913234641</v>
      </c>
      <c r="CO23" s="31">
        <v>-37597</v>
      </c>
      <c r="CP23" s="31">
        <v>-37597</v>
      </c>
      <c r="CQ23" s="31"/>
      <c r="CR23" s="31"/>
      <c r="CS23" s="31">
        <v>0</v>
      </c>
      <c r="CT23" s="31">
        <v>0</v>
      </c>
      <c r="CU23" s="59">
        <f t="shared" si="21"/>
        <v>1654214.1326097946</v>
      </c>
    </row>
    <row r="24" spans="1:99" s="8" customFormat="1" ht="13.5" customHeight="1" x14ac:dyDescent="0.2">
      <c r="A24" s="57" t="s">
        <v>187</v>
      </c>
      <c r="B24" s="42">
        <v>1112958163</v>
      </c>
      <c r="C24" s="33" t="s">
        <v>116</v>
      </c>
      <c r="D24" s="43" t="s">
        <v>55</v>
      </c>
      <c r="E24" s="43" t="s">
        <v>58</v>
      </c>
      <c r="F24" s="41" t="s">
        <v>119</v>
      </c>
      <c r="G24" s="41" t="s">
        <v>121</v>
      </c>
      <c r="H24" s="44">
        <v>6.96</v>
      </c>
      <c r="I24" s="34">
        <v>0</v>
      </c>
      <c r="J24" s="35">
        <v>-58364</v>
      </c>
      <c r="K24" s="34"/>
      <c r="L24" s="35"/>
      <c r="M24" s="35"/>
      <c r="N24" s="35"/>
      <c r="O24" s="35"/>
      <c r="P24" s="35">
        <v>0</v>
      </c>
      <c r="Q24" s="35">
        <v>0</v>
      </c>
      <c r="R24" s="34">
        <v>0</v>
      </c>
      <c r="S24" s="35">
        <v>0</v>
      </c>
      <c r="T24" s="35">
        <v>0</v>
      </c>
      <c r="U24" s="35">
        <v>0</v>
      </c>
      <c r="V24" s="34">
        <v>0</v>
      </c>
      <c r="W24" s="35">
        <v>0</v>
      </c>
      <c r="X24" s="35">
        <v>0</v>
      </c>
      <c r="Y24" s="35">
        <v>0</v>
      </c>
      <c r="Z24" s="35"/>
      <c r="AA24" s="35"/>
      <c r="AB24" s="35">
        <v>0</v>
      </c>
      <c r="AC24" s="35">
        <v>0</v>
      </c>
      <c r="AD24" s="35">
        <v>0</v>
      </c>
      <c r="AE24" s="35">
        <v>0</v>
      </c>
      <c r="AF24" s="35"/>
      <c r="AG24" s="35"/>
      <c r="AH24" s="35"/>
      <c r="AI24" s="35"/>
      <c r="AJ24" s="35">
        <v>0</v>
      </c>
      <c r="AK24" s="35">
        <v>-8303</v>
      </c>
      <c r="AL24" s="35"/>
      <c r="AM24" s="35"/>
      <c r="AN24" s="35"/>
      <c r="AO24" s="35"/>
      <c r="AP24" s="35"/>
      <c r="AQ24" s="35"/>
      <c r="AR24" s="35"/>
      <c r="AS24" s="35"/>
      <c r="AT24" s="35">
        <v>0</v>
      </c>
      <c r="AU24" s="35">
        <v>0</v>
      </c>
      <c r="AV24" s="35"/>
      <c r="AW24" s="35"/>
      <c r="AX24" s="35"/>
      <c r="AY24" s="35"/>
      <c r="AZ24" s="35"/>
      <c r="BA24" s="35"/>
      <c r="BB24" s="35">
        <v>0</v>
      </c>
      <c r="BC24" s="35">
        <v>0</v>
      </c>
      <c r="BD24" s="36"/>
      <c r="BE24" s="37"/>
      <c r="BF24" s="37"/>
      <c r="BG24" s="13">
        <f t="shared" si="0"/>
        <v>-66667</v>
      </c>
      <c r="BH24" s="38"/>
      <c r="BI24" s="38"/>
      <c r="BJ24" s="33">
        <f t="shared" si="1"/>
        <v>-58364</v>
      </c>
      <c r="BK24" s="33">
        <f t="shared" si="2"/>
        <v>-58364</v>
      </c>
      <c r="BL24" s="33">
        <f t="shared" si="3"/>
        <v>-28391.724104000001</v>
      </c>
      <c r="BM24" s="13">
        <f t="shared" si="4"/>
        <v>-66667</v>
      </c>
      <c r="BN24" s="33">
        <f t="shared" si="5"/>
        <v>-5553.3611000000001</v>
      </c>
      <c r="BO24" s="33">
        <f t="shared" si="6"/>
        <v>-666.67</v>
      </c>
      <c r="BP24" s="33">
        <f t="shared" si="7"/>
        <v>-5553.3611000000001</v>
      </c>
      <c r="BQ24" s="33"/>
      <c r="BR24" s="33">
        <f t="shared" si="8"/>
        <v>-2532.9976000000001</v>
      </c>
      <c r="BS24" s="13">
        <f t="shared" si="9"/>
        <v>-14306.389800000001</v>
      </c>
      <c r="BT24" s="33">
        <f t="shared" si="10"/>
        <v>-7003.6799999999994</v>
      </c>
      <c r="BU24" s="33">
        <f t="shared" si="11"/>
        <v>-4062.1343999999999</v>
      </c>
      <c r="BV24" s="33">
        <f t="shared" si="12"/>
        <v>-2435.8799040000004</v>
      </c>
      <c r="BW24" s="33">
        <f t="shared" si="13"/>
        <v>-583.64</v>
      </c>
      <c r="BX24" s="13">
        <f t="shared" si="14"/>
        <v>-14085.334304</v>
      </c>
      <c r="BY24" s="39">
        <v>0</v>
      </c>
      <c r="BZ24" s="39">
        <v>0</v>
      </c>
      <c r="CA24" s="33"/>
      <c r="CB24" s="33"/>
      <c r="CC24" s="33"/>
      <c r="CD24" s="33"/>
      <c r="CE24" s="33"/>
      <c r="CF24" s="33"/>
      <c r="CG24" s="33"/>
      <c r="CH24" s="40"/>
      <c r="CI24" s="33">
        <f t="shared" si="15"/>
        <v>0</v>
      </c>
      <c r="CJ24" s="14">
        <f t="shared" si="16"/>
        <v>-6654.110687280001</v>
      </c>
      <c r="CK24" s="33">
        <f t="shared" si="17"/>
        <v>-10171.283479128002</v>
      </c>
      <c r="CL24" s="33">
        <f t="shared" si="18"/>
        <v>-95058.724104000008</v>
      </c>
      <c r="CM24" s="33">
        <f t="shared" si="19"/>
        <v>-95058.724104000008</v>
      </c>
      <c r="CN24" s="33">
        <f t="shared" si="20"/>
        <v>-1932.5438610343203</v>
      </c>
      <c r="CO24" s="31">
        <v>2335</v>
      </c>
      <c r="CP24" s="31">
        <v>2335</v>
      </c>
      <c r="CQ24" s="31"/>
      <c r="CR24" s="31"/>
      <c r="CS24" s="31">
        <v>0</v>
      </c>
      <c r="CT24" s="31">
        <v>0</v>
      </c>
      <c r="CU24" s="59">
        <f t="shared" si="21"/>
        <v>-103645.37865231434</v>
      </c>
    </row>
    <row r="25" spans="1:99" s="16" customFormat="1" ht="15.75" x14ac:dyDescent="0.2">
      <c r="A25" s="58" t="s">
        <v>188</v>
      </c>
      <c r="B25" s="46">
        <v>5715184</v>
      </c>
      <c r="C25" s="47" t="s">
        <v>126</v>
      </c>
      <c r="D25" s="48"/>
      <c r="E25" s="43" t="s">
        <v>58</v>
      </c>
      <c r="F25" s="49" t="s">
        <v>190</v>
      </c>
      <c r="G25" s="49"/>
      <c r="H25" s="50">
        <v>6.96</v>
      </c>
      <c r="I25" s="51">
        <v>109.95</v>
      </c>
      <c r="J25" s="52">
        <v>1500000</v>
      </c>
      <c r="K25" s="51"/>
      <c r="L25" s="52"/>
      <c r="M25" s="52"/>
      <c r="N25" s="52"/>
      <c r="O25" s="52"/>
      <c r="P25" s="52">
        <v>0</v>
      </c>
      <c r="Q25" s="52">
        <v>0</v>
      </c>
      <c r="R25" s="51">
        <v>0</v>
      </c>
      <c r="S25" s="52">
        <v>0</v>
      </c>
      <c r="T25" s="52">
        <v>0</v>
      </c>
      <c r="U25" s="52">
        <v>0</v>
      </c>
      <c r="V25" s="51">
        <v>0</v>
      </c>
      <c r="W25" s="52">
        <v>0</v>
      </c>
      <c r="X25" s="52">
        <v>0</v>
      </c>
      <c r="Y25" s="52">
        <v>0</v>
      </c>
      <c r="Z25" s="52"/>
      <c r="AA25" s="52"/>
      <c r="AB25" s="52">
        <v>0</v>
      </c>
      <c r="AC25" s="52">
        <v>0</v>
      </c>
      <c r="AD25" s="52">
        <v>0</v>
      </c>
      <c r="AE25" s="52">
        <v>0</v>
      </c>
      <c r="AF25" s="52"/>
      <c r="AG25" s="52"/>
      <c r="AH25" s="52"/>
      <c r="AI25" s="52"/>
      <c r="AJ25" s="52">
        <v>109.95</v>
      </c>
      <c r="AK25" s="52">
        <v>124548</v>
      </c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>
        <v>0</v>
      </c>
      <c r="BC25" s="52">
        <v>0</v>
      </c>
      <c r="BD25" s="53"/>
      <c r="BE25" s="54"/>
      <c r="BF25" s="54"/>
      <c r="BG25" s="13">
        <f t="shared" si="0"/>
        <v>1624548</v>
      </c>
      <c r="BH25" s="52"/>
      <c r="BI25" s="52"/>
      <c r="BJ25" s="47"/>
      <c r="BK25" s="47"/>
      <c r="BL25" s="47"/>
      <c r="BM25" s="55"/>
      <c r="BN25" s="47">
        <v>135325</v>
      </c>
      <c r="BO25" s="47">
        <v>16245</v>
      </c>
      <c r="BP25" s="47">
        <v>135325</v>
      </c>
      <c r="BQ25" s="47"/>
      <c r="BR25" s="47">
        <v>65100</v>
      </c>
      <c r="BS25" s="13">
        <f t="shared" si="9"/>
        <v>351995</v>
      </c>
      <c r="BT25" s="47">
        <v>180000</v>
      </c>
      <c r="BU25" s="47">
        <v>104400</v>
      </c>
      <c r="BV25" s="47">
        <v>60000</v>
      </c>
      <c r="BW25" s="47"/>
      <c r="BX25" s="13">
        <f t="shared" si="14"/>
        <v>344400</v>
      </c>
      <c r="BY25" s="47">
        <v>225000</v>
      </c>
      <c r="BZ25" s="47">
        <v>0</v>
      </c>
      <c r="CA25" s="47"/>
      <c r="CB25" s="47"/>
      <c r="CC25" s="47"/>
      <c r="CD25" s="47"/>
      <c r="CE25" s="47"/>
      <c r="CF25" s="47"/>
      <c r="CG25" s="47"/>
      <c r="CH25" s="53"/>
      <c r="CI25" s="47"/>
      <c r="CJ25" s="47">
        <v>165487</v>
      </c>
      <c r="CK25" s="47">
        <v>51517.17</v>
      </c>
      <c r="CL25" s="47">
        <v>2711430</v>
      </c>
      <c r="CM25" s="33">
        <f>CL25-CJ25</f>
        <v>2545943</v>
      </c>
      <c r="CN25" s="47">
        <v>51517.17</v>
      </c>
      <c r="CO25" s="56"/>
      <c r="CP25" s="56"/>
      <c r="CQ25" s="56"/>
      <c r="CR25" s="56"/>
      <c r="CS25" s="56"/>
      <c r="CT25" s="56"/>
      <c r="CU25" s="59">
        <f t="shared" si="21"/>
        <v>2762947.17</v>
      </c>
    </row>
    <row r="26" spans="1:99" s="16" customFormat="1" ht="15.75" x14ac:dyDescent="0.2">
      <c r="A26" s="57" t="s">
        <v>188</v>
      </c>
      <c r="B26" s="42">
        <v>1047501761</v>
      </c>
      <c r="C26" s="33" t="s">
        <v>127</v>
      </c>
      <c r="D26" s="43"/>
      <c r="E26" s="43" t="s">
        <v>58</v>
      </c>
      <c r="F26" s="41" t="s">
        <v>191</v>
      </c>
      <c r="G26" s="41"/>
      <c r="H26" s="44">
        <v>0.52</v>
      </c>
      <c r="I26" s="51">
        <v>73.3</v>
      </c>
      <c r="J26" s="35">
        <v>833333</v>
      </c>
      <c r="K26" s="34"/>
      <c r="L26" s="35"/>
      <c r="M26" s="35"/>
      <c r="N26" s="35"/>
      <c r="O26" s="35"/>
      <c r="P26" s="35">
        <v>0</v>
      </c>
      <c r="Q26" s="35">
        <v>0</v>
      </c>
      <c r="R26" s="34">
        <v>0</v>
      </c>
      <c r="S26" s="35">
        <v>0</v>
      </c>
      <c r="T26" s="35">
        <v>0</v>
      </c>
      <c r="U26" s="35">
        <v>0</v>
      </c>
      <c r="V26" s="34">
        <v>0</v>
      </c>
      <c r="W26" s="35">
        <v>0</v>
      </c>
      <c r="X26" s="35">
        <v>0</v>
      </c>
      <c r="Y26" s="35">
        <v>0</v>
      </c>
      <c r="Z26" s="35"/>
      <c r="AA26" s="35"/>
      <c r="AB26" s="35">
        <v>0</v>
      </c>
      <c r="AC26" s="35">
        <v>0</v>
      </c>
      <c r="AD26" s="35">
        <v>0</v>
      </c>
      <c r="AE26" s="35">
        <v>0</v>
      </c>
      <c r="AF26" s="35"/>
      <c r="AG26" s="35"/>
      <c r="AH26" s="35"/>
      <c r="AI26" s="35"/>
      <c r="AJ26" s="35">
        <v>73.3</v>
      </c>
      <c r="AK26" s="35">
        <v>83032</v>
      </c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>
        <v>0</v>
      </c>
      <c r="BC26" s="35">
        <v>0</v>
      </c>
      <c r="BD26" s="36"/>
      <c r="BE26" s="37"/>
      <c r="BF26" s="37"/>
      <c r="BG26" s="13">
        <f t="shared" si="0"/>
        <v>916365</v>
      </c>
      <c r="BH26" s="38"/>
      <c r="BI26" s="38"/>
      <c r="BJ26" s="33"/>
      <c r="BK26" s="33"/>
      <c r="BL26" s="33"/>
      <c r="BM26" s="13"/>
      <c r="BN26" s="33">
        <v>76334</v>
      </c>
      <c r="BO26" s="33">
        <v>9163</v>
      </c>
      <c r="BP26" s="33">
        <v>76334</v>
      </c>
      <c r="BQ26" s="33"/>
      <c r="BR26" s="33">
        <v>36167</v>
      </c>
      <c r="BS26" s="13">
        <f t="shared" si="9"/>
        <v>197998</v>
      </c>
      <c r="BT26" s="33">
        <v>100000</v>
      </c>
      <c r="BU26" s="33">
        <v>4350</v>
      </c>
      <c r="BV26" s="33">
        <v>33333</v>
      </c>
      <c r="BW26" s="33"/>
      <c r="BX26" s="13">
        <f t="shared" si="14"/>
        <v>137683</v>
      </c>
      <c r="BY26" s="39">
        <v>100000</v>
      </c>
      <c r="BZ26" s="39">
        <v>0</v>
      </c>
      <c r="CA26" s="33"/>
      <c r="CB26" s="33"/>
      <c r="CC26" s="33"/>
      <c r="CD26" s="33"/>
      <c r="CE26" s="33"/>
      <c r="CF26" s="33"/>
      <c r="CG26" s="33"/>
      <c r="CH26" s="40"/>
      <c r="CI26" s="33"/>
      <c r="CJ26" s="14">
        <v>87883</v>
      </c>
      <c r="CK26" s="33">
        <v>27358.650999999998</v>
      </c>
      <c r="CL26" s="33">
        <v>1439929</v>
      </c>
      <c r="CM26" s="33">
        <f t="shared" ref="CM26:CM85" si="22">CL26-CJ26</f>
        <v>1352046</v>
      </c>
      <c r="CN26" s="33">
        <v>27358.650999999998</v>
      </c>
      <c r="CO26" s="31"/>
      <c r="CP26" s="31"/>
      <c r="CQ26" s="31"/>
      <c r="CR26" s="31"/>
      <c r="CS26" s="31"/>
      <c r="CT26" s="31"/>
      <c r="CU26" s="59">
        <f t="shared" si="21"/>
        <v>1467287.6510000001</v>
      </c>
    </row>
    <row r="27" spans="1:99" s="16" customFormat="1" ht="15.75" x14ac:dyDescent="0.2">
      <c r="A27" s="57" t="s">
        <v>188</v>
      </c>
      <c r="B27" s="42">
        <v>52756364</v>
      </c>
      <c r="C27" s="33" t="s">
        <v>128</v>
      </c>
      <c r="D27" s="43"/>
      <c r="E27" s="43" t="s">
        <v>58</v>
      </c>
      <c r="F27" s="41" t="s">
        <v>192</v>
      </c>
      <c r="G27" s="41"/>
      <c r="H27" s="44">
        <v>6.96</v>
      </c>
      <c r="I27" s="51">
        <v>109.95</v>
      </c>
      <c r="J27" s="35">
        <v>1000000</v>
      </c>
      <c r="K27" s="34"/>
      <c r="L27" s="35"/>
      <c r="M27" s="35"/>
      <c r="N27" s="35"/>
      <c r="O27" s="35"/>
      <c r="P27" s="35">
        <v>0</v>
      </c>
      <c r="Q27" s="35">
        <v>0</v>
      </c>
      <c r="R27" s="34">
        <v>18</v>
      </c>
      <c r="S27" s="35">
        <v>204545</v>
      </c>
      <c r="T27" s="35">
        <v>0</v>
      </c>
      <c r="U27" s="35">
        <v>0</v>
      </c>
      <c r="V27" s="34">
        <v>0</v>
      </c>
      <c r="W27" s="35">
        <v>0</v>
      </c>
      <c r="X27" s="35">
        <v>0</v>
      </c>
      <c r="Y27" s="35">
        <v>0</v>
      </c>
      <c r="Z27" s="35"/>
      <c r="AA27" s="35"/>
      <c r="AB27" s="35">
        <v>0</v>
      </c>
      <c r="AC27" s="35">
        <v>0</v>
      </c>
      <c r="AD27" s="35">
        <v>0</v>
      </c>
      <c r="AE27" s="35">
        <v>0</v>
      </c>
      <c r="AF27" s="35"/>
      <c r="AG27" s="35"/>
      <c r="AH27" s="35"/>
      <c r="AI27" s="35"/>
      <c r="AJ27" s="35">
        <v>109.95</v>
      </c>
      <c r="AK27" s="35">
        <v>124548</v>
      </c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>
        <v>0</v>
      </c>
      <c r="BC27" s="35">
        <v>0</v>
      </c>
      <c r="BD27" s="36"/>
      <c r="BE27" s="37"/>
      <c r="BF27" s="37"/>
      <c r="BG27" s="13">
        <f t="shared" si="0"/>
        <v>1329093</v>
      </c>
      <c r="BH27" s="38"/>
      <c r="BI27" s="38"/>
      <c r="BJ27" s="33"/>
      <c r="BK27" s="33"/>
      <c r="BL27" s="33"/>
      <c r="BM27" s="13"/>
      <c r="BN27" s="33">
        <v>110714</v>
      </c>
      <c r="BO27" s="33">
        <v>13290</v>
      </c>
      <c r="BP27" s="33">
        <v>110714</v>
      </c>
      <c r="BQ27" s="33"/>
      <c r="BR27" s="33">
        <v>43400</v>
      </c>
      <c r="BS27" s="13">
        <f t="shared" si="9"/>
        <v>278118</v>
      </c>
      <c r="BT27" s="33">
        <v>144545</v>
      </c>
      <c r="BU27" s="33">
        <v>83836</v>
      </c>
      <c r="BV27" s="33">
        <v>48182</v>
      </c>
      <c r="BW27" s="33"/>
      <c r="BX27" s="13">
        <f t="shared" si="14"/>
        <v>276563</v>
      </c>
      <c r="BY27" s="39">
        <v>100000</v>
      </c>
      <c r="BZ27" s="39">
        <v>0</v>
      </c>
      <c r="CA27" s="33"/>
      <c r="CB27" s="33"/>
      <c r="CC27" s="33"/>
      <c r="CD27" s="33"/>
      <c r="CE27" s="33"/>
      <c r="CF27" s="33"/>
      <c r="CG27" s="33"/>
      <c r="CH27" s="40"/>
      <c r="CI27" s="33"/>
      <c r="CJ27" s="14">
        <v>128946</v>
      </c>
      <c r="CK27" s="33">
        <v>40141.68</v>
      </c>
      <c r="CL27" s="33">
        <v>2112720</v>
      </c>
      <c r="CM27" s="33">
        <f t="shared" si="22"/>
        <v>1983774</v>
      </c>
      <c r="CN27" s="33">
        <v>40141.68</v>
      </c>
      <c r="CO27" s="31"/>
      <c r="CP27" s="31"/>
      <c r="CQ27" s="31"/>
      <c r="CR27" s="31"/>
      <c r="CS27" s="31"/>
      <c r="CT27" s="31"/>
      <c r="CU27" s="59">
        <f t="shared" si="21"/>
        <v>2152861.6800000002</v>
      </c>
    </row>
    <row r="28" spans="1:99" s="16" customFormat="1" ht="15.75" x14ac:dyDescent="0.2">
      <c r="A28" s="57" t="s">
        <v>188</v>
      </c>
      <c r="B28" s="42">
        <v>16915925</v>
      </c>
      <c r="C28" s="33" t="s">
        <v>129</v>
      </c>
      <c r="D28" s="43"/>
      <c r="E28" s="43" t="s">
        <v>58</v>
      </c>
      <c r="F28" s="41" t="s">
        <v>193</v>
      </c>
      <c r="G28" s="41"/>
      <c r="H28" s="44">
        <v>6.96</v>
      </c>
      <c r="I28" s="51">
        <v>109.95</v>
      </c>
      <c r="J28" s="35">
        <v>950000</v>
      </c>
      <c r="K28" s="34"/>
      <c r="L28" s="35"/>
      <c r="M28" s="35"/>
      <c r="N28" s="35"/>
      <c r="O28" s="35"/>
      <c r="P28" s="35">
        <v>0</v>
      </c>
      <c r="Q28" s="35">
        <v>0</v>
      </c>
      <c r="R28" s="34">
        <v>4</v>
      </c>
      <c r="S28" s="35">
        <v>43182</v>
      </c>
      <c r="T28" s="35">
        <v>0</v>
      </c>
      <c r="U28" s="35">
        <v>0</v>
      </c>
      <c r="V28" s="34">
        <v>0</v>
      </c>
      <c r="W28" s="35">
        <v>0</v>
      </c>
      <c r="X28" s="35">
        <v>0</v>
      </c>
      <c r="Y28" s="35">
        <v>0</v>
      </c>
      <c r="Z28" s="35"/>
      <c r="AA28" s="35"/>
      <c r="AB28" s="35">
        <v>14.5</v>
      </c>
      <c r="AC28" s="35">
        <v>225409</v>
      </c>
      <c r="AD28" s="35">
        <v>0</v>
      </c>
      <c r="AE28" s="35">
        <v>0</v>
      </c>
      <c r="AF28" s="35"/>
      <c r="AG28" s="35"/>
      <c r="AH28" s="35"/>
      <c r="AI28" s="35"/>
      <c r="AJ28" s="35">
        <v>109.95</v>
      </c>
      <c r="AK28" s="35">
        <v>124548</v>
      </c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>
        <v>0</v>
      </c>
      <c r="BC28" s="35">
        <v>0</v>
      </c>
      <c r="BD28" s="36"/>
      <c r="BE28" s="37"/>
      <c r="BF28" s="37"/>
      <c r="BG28" s="13">
        <f t="shared" si="0"/>
        <v>1343139</v>
      </c>
      <c r="BH28" s="38"/>
      <c r="BI28" s="38"/>
      <c r="BJ28" s="33"/>
      <c r="BK28" s="33"/>
      <c r="BL28" s="33"/>
      <c r="BM28" s="13"/>
      <c r="BN28" s="33">
        <v>111884</v>
      </c>
      <c r="BO28" s="33">
        <v>13431</v>
      </c>
      <c r="BP28" s="33">
        <v>111884</v>
      </c>
      <c r="BQ28" s="33"/>
      <c r="BR28" s="33">
        <v>41230</v>
      </c>
      <c r="BS28" s="13">
        <f t="shared" si="9"/>
        <v>278429</v>
      </c>
      <c r="BT28" s="33">
        <v>146231</v>
      </c>
      <c r="BU28" s="33">
        <v>84813</v>
      </c>
      <c r="BV28" s="33">
        <v>48743</v>
      </c>
      <c r="BW28" s="33"/>
      <c r="BX28" s="13">
        <f t="shared" si="14"/>
        <v>279787</v>
      </c>
      <c r="BY28" s="39">
        <v>250000</v>
      </c>
      <c r="BZ28" s="39">
        <v>0</v>
      </c>
      <c r="CA28" s="33"/>
      <c r="CB28" s="33"/>
      <c r="CC28" s="33"/>
      <c r="CD28" s="33"/>
      <c r="CE28" s="33"/>
      <c r="CF28" s="33"/>
      <c r="CG28" s="33"/>
      <c r="CH28" s="40"/>
      <c r="CI28" s="33"/>
      <c r="CJ28" s="14">
        <v>139839</v>
      </c>
      <c r="CK28" s="33">
        <v>43532.686000000002</v>
      </c>
      <c r="CL28" s="33">
        <v>2291194</v>
      </c>
      <c r="CM28" s="33">
        <f t="shared" si="22"/>
        <v>2151355</v>
      </c>
      <c r="CN28" s="33">
        <v>43532.686000000002</v>
      </c>
      <c r="CO28" s="31"/>
      <c r="CP28" s="31"/>
      <c r="CQ28" s="31"/>
      <c r="CR28" s="31"/>
      <c r="CS28" s="31"/>
      <c r="CT28" s="31"/>
      <c r="CU28" s="59">
        <f t="shared" si="21"/>
        <v>2334726.6860000002</v>
      </c>
    </row>
    <row r="29" spans="1:99" s="16" customFormat="1" ht="15.75" x14ac:dyDescent="0.2">
      <c r="A29" s="57" t="s">
        <v>188</v>
      </c>
      <c r="B29" s="42">
        <v>1022987007</v>
      </c>
      <c r="C29" s="33" t="s">
        <v>130</v>
      </c>
      <c r="D29" s="43"/>
      <c r="E29" s="43" t="s">
        <v>58</v>
      </c>
      <c r="F29" s="41" t="s">
        <v>194</v>
      </c>
      <c r="G29" s="41"/>
      <c r="H29" s="44">
        <v>6.96</v>
      </c>
      <c r="I29" s="51">
        <v>109.95</v>
      </c>
      <c r="J29" s="35">
        <v>975000</v>
      </c>
      <c r="K29" s="34"/>
      <c r="L29" s="35"/>
      <c r="M29" s="35"/>
      <c r="N29" s="35"/>
      <c r="O29" s="35"/>
      <c r="P29" s="35">
        <v>0</v>
      </c>
      <c r="Q29" s="35">
        <v>0</v>
      </c>
      <c r="R29" s="34">
        <v>5</v>
      </c>
      <c r="S29" s="35">
        <v>55398</v>
      </c>
      <c r="T29" s="35">
        <v>0</v>
      </c>
      <c r="U29" s="35">
        <v>0</v>
      </c>
      <c r="V29" s="34">
        <v>0</v>
      </c>
      <c r="W29" s="35">
        <v>0</v>
      </c>
      <c r="X29" s="35">
        <v>0</v>
      </c>
      <c r="Y29" s="35">
        <v>0</v>
      </c>
      <c r="Z29" s="35"/>
      <c r="AA29" s="35"/>
      <c r="AB29" s="35">
        <v>39</v>
      </c>
      <c r="AC29" s="35">
        <v>622227</v>
      </c>
      <c r="AD29" s="35">
        <v>0</v>
      </c>
      <c r="AE29" s="35">
        <v>0</v>
      </c>
      <c r="AF29" s="35"/>
      <c r="AG29" s="35"/>
      <c r="AH29" s="35"/>
      <c r="AI29" s="35"/>
      <c r="AJ29" s="35">
        <v>109.95</v>
      </c>
      <c r="AK29" s="35">
        <v>124548</v>
      </c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>
        <v>0</v>
      </c>
      <c r="BC29" s="35">
        <v>0</v>
      </c>
      <c r="BD29" s="36"/>
      <c r="BE29" s="37"/>
      <c r="BF29" s="37"/>
      <c r="BG29" s="13">
        <f t="shared" si="0"/>
        <v>1777173</v>
      </c>
      <c r="BH29" s="38"/>
      <c r="BI29" s="38"/>
      <c r="BJ29" s="33"/>
      <c r="BK29" s="33"/>
      <c r="BL29" s="33"/>
      <c r="BM29" s="13"/>
      <c r="BN29" s="33">
        <v>148040</v>
      </c>
      <c r="BO29" s="33">
        <v>17771</v>
      </c>
      <c r="BP29" s="33">
        <v>148040</v>
      </c>
      <c r="BQ29" s="33"/>
      <c r="BR29" s="33">
        <v>42315</v>
      </c>
      <c r="BS29" s="13">
        <f t="shared" si="9"/>
        <v>356166</v>
      </c>
      <c r="BT29" s="33">
        <v>198315</v>
      </c>
      <c r="BU29" s="33">
        <v>115023</v>
      </c>
      <c r="BV29" s="33">
        <v>66105</v>
      </c>
      <c r="BW29" s="33"/>
      <c r="BX29" s="13">
        <f t="shared" si="14"/>
        <v>379443</v>
      </c>
      <c r="BY29" s="39">
        <v>150000</v>
      </c>
      <c r="BZ29" s="39">
        <v>0</v>
      </c>
      <c r="CA29" s="33"/>
      <c r="CB29" s="33"/>
      <c r="CC29" s="33"/>
      <c r="CD29" s="33"/>
      <c r="CE29" s="33"/>
      <c r="CF29" s="33"/>
      <c r="CG29" s="33"/>
      <c r="CH29" s="40"/>
      <c r="CI29" s="33"/>
      <c r="CJ29" s="14">
        <v>173083</v>
      </c>
      <c r="CK29" s="33">
        <v>53881.434999999998</v>
      </c>
      <c r="CL29" s="33">
        <v>2835865</v>
      </c>
      <c r="CM29" s="33">
        <f t="shared" si="22"/>
        <v>2662782</v>
      </c>
      <c r="CN29" s="33">
        <v>53881.434999999998</v>
      </c>
      <c r="CO29" s="31"/>
      <c r="CP29" s="31"/>
      <c r="CQ29" s="31"/>
      <c r="CR29" s="31"/>
      <c r="CS29" s="31"/>
      <c r="CT29" s="31"/>
      <c r="CU29" s="59">
        <f t="shared" si="21"/>
        <v>2889746.4350000001</v>
      </c>
    </row>
    <row r="30" spans="1:99" s="16" customFormat="1" ht="15.75" x14ac:dyDescent="0.2">
      <c r="A30" s="57" t="s">
        <v>188</v>
      </c>
      <c r="B30" s="42">
        <v>1152690752</v>
      </c>
      <c r="C30" s="33" t="s">
        <v>131</v>
      </c>
      <c r="D30" s="43"/>
      <c r="E30" s="43" t="s">
        <v>58</v>
      </c>
      <c r="F30" s="41" t="s">
        <v>195</v>
      </c>
      <c r="G30" s="41"/>
      <c r="H30" s="44">
        <v>2.44</v>
      </c>
      <c r="I30" s="51">
        <v>109.95</v>
      </c>
      <c r="J30" s="35">
        <v>1000000</v>
      </c>
      <c r="K30" s="34"/>
      <c r="L30" s="35"/>
      <c r="M30" s="35"/>
      <c r="N30" s="35"/>
      <c r="O30" s="35"/>
      <c r="P30" s="35">
        <v>0</v>
      </c>
      <c r="Q30" s="35">
        <v>0</v>
      </c>
      <c r="R30" s="34">
        <v>12</v>
      </c>
      <c r="S30" s="35">
        <v>136364</v>
      </c>
      <c r="T30" s="35">
        <v>0</v>
      </c>
      <c r="U30" s="35">
        <v>0</v>
      </c>
      <c r="V30" s="34">
        <v>1</v>
      </c>
      <c r="W30" s="35">
        <v>15909</v>
      </c>
      <c r="X30" s="35">
        <v>0</v>
      </c>
      <c r="Y30" s="35">
        <v>0</v>
      </c>
      <c r="Z30" s="35"/>
      <c r="AA30" s="35"/>
      <c r="AB30" s="35">
        <v>14</v>
      </c>
      <c r="AC30" s="35">
        <v>229091</v>
      </c>
      <c r="AD30" s="35">
        <v>0</v>
      </c>
      <c r="AE30" s="35">
        <v>0</v>
      </c>
      <c r="AF30" s="35"/>
      <c r="AG30" s="35"/>
      <c r="AH30" s="35"/>
      <c r="AI30" s="35"/>
      <c r="AJ30" s="35">
        <v>109.95</v>
      </c>
      <c r="AK30" s="35">
        <v>124548</v>
      </c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>
        <v>0</v>
      </c>
      <c r="BC30" s="35">
        <v>0</v>
      </c>
      <c r="BD30" s="36"/>
      <c r="BE30" s="37"/>
      <c r="BF30" s="37"/>
      <c r="BG30" s="13">
        <f t="shared" si="0"/>
        <v>1505912</v>
      </c>
      <c r="BH30" s="38"/>
      <c r="BI30" s="38"/>
      <c r="BJ30" s="33"/>
      <c r="BK30" s="33"/>
      <c r="BL30" s="33"/>
      <c r="BM30" s="13"/>
      <c r="BN30" s="33">
        <v>125442</v>
      </c>
      <c r="BO30" s="33">
        <v>15059</v>
      </c>
      <c r="BP30" s="33">
        <v>125442</v>
      </c>
      <c r="BQ30" s="33"/>
      <c r="BR30" s="33">
        <v>43400</v>
      </c>
      <c r="BS30" s="13">
        <f t="shared" si="9"/>
        <v>309343</v>
      </c>
      <c r="BT30" s="33">
        <v>165764</v>
      </c>
      <c r="BU30" s="33">
        <v>33651</v>
      </c>
      <c r="BV30" s="33">
        <v>55255</v>
      </c>
      <c r="BW30" s="33"/>
      <c r="BX30" s="13">
        <f t="shared" si="14"/>
        <v>254670</v>
      </c>
      <c r="BY30" s="39">
        <v>250000</v>
      </c>
      <c r="BZ30" s="39">
        <v>0</v>
      </c>
      <c r="CA30" s="33"/>
      <c r="CB30" s="33"/>
      <c r="CC30" s="33"/>
      <c r="CD30" s="33"/>
      <c r="CE30" s="33"/>
      <c r="CF30" s="33"/>
      <c r="CG30" s="33"/>
      <c r="CH30" s="40"/>
      <c r="CI30" s="33"/>
      <c r="CJ30" s="14">
        <v>150796</v>
      </c>
      <c r="CK30" s="33">
        <v>46943.699000000001</v>
      </c>
      <c r="CL30" s="33">
        <v>2470721</v>
      </c>
      <c r="CM30" s="33">
        <f t="shared" si="22"/>
        <v>2319925</v>
      </c>
      <c r="CN30" s="33">
        <v>46943.699000000001</v>
      </c>
      <c r="CO30" s="31"/>
      <c r="CP30" s="31"/>
      <c r="CQ30" s="31"/>
      <c r="CR30" s="31"/>
      <c r="CS30" s="31"/>
      <c r="CT30" s="31"/>
      <c r="CU30" s="59">
        <f t="shared" si="21"/>
        <v>2517664.699</v>
      </c>
    </row>
    <row r="31" spans="1:99" s="16" customFormat="1" ht="15.75" x14ac:dyDescent="0.2">
      <c r="A31" s="57" t="s">
        <v>188</v>
      </c>
      <c r="B31" s="42">
        <v>1193081227</v>
      </c>
      <c r="C31" s="33" t="s">
        <v>132</v>
      </c>
      <c r="D31" s="43"/>
      <c r="E31" s="43" t="s">
        <v>58</v>
      </c>
      <c r="F31" s="41" t="s">
        <v>196</v>
      </c>
      <c r="G31" s="41"/>
      <c r="H31" s="44">
        <v>6.96</v>
      </c>
      <c r="I31" s="51">
        <v>102.62</v>
      </c>
      <c r="J31" s="35">
        <v>817116</v>
      </c>
      <c r="K31" s="34"/>
      <c r="L31" s="35"/>
      <c r="M31" s="35"/>
      <c r="N31" s="35"/>
      <c r="O31" s="35"/>
      <c r="P31" s="35">
        <v>0</v>
      </c>
      <c r="Q31" s="35">
        <v>0</v>
      </c>
      <c r="R31" s="34">
        <v>8</v>
      </c>
      <c r="S31" s="35">
        <v>79587</v>
      </c>
      <c r="T31" s="35">
        <v>0</v>
      </c>
      <c r="U31" s="35">
        <v>0</v>
      </c>
      <c r="V31" s="34">
        <v>0</v>
      </c>
      <c r="W31" s="35">
        <v>0</v>
      </c>
      <c r="X31" s="35">
        <v>0</v>
      </c>
      <c r="Y31" s="35">
        <v>0</v>
      </c>
      <c r="Z31" s="35"/>
      <c r="AA31" s="35"/>
      <c r="AB31" s="35">
        <v>0</v>
      </c>
      <c r="AC31" s="35">
        <v>0</v>
      </c>
      <c r="AD31" s="35">
        <v>0</v>
      </c>
      <c r="AE31" s="35">
        <v>0</v>
      </c>
      <c r="AF31" s="35"/>
      <c r="AG31" s="35"/>
      <c r="AH31" s="35"/>
      <c r="AI31" s="35"/>
      <c r="AJ31" s="35">
        <v>102.62</v>
      </c>
      <c r="AK31" s="35">
        <v>116244</v>
      </c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>
        <v>0</v>
      </c>
      <c r="BC31" s="35">
        <v>0</v>
      </c>
      <c r="BD31" s="36"/>
      <c r="BE31" s="37"/>
      <c r="BF31" s="37"/>
      <c r="BG31" s="13">
        <f t="shared" si="0"/>
        <v>1012947</v>
      </c>
      <c r="BH31" s="38"/>
      <c r="BI31" s="38"/>
      <c r="BJ31" s="33"/>
      <c r="BK31" s="33"/>
      <c r="BL31" s="33"/>
      <c r="BM31" s="13"/>
      <c r="BN31" s="33">
        <v>84379</v>
      </c>
      <c r="BO31" s="33">
        <v>10129</v>
      </c>
      <c r="BP31" s="33">
        <v>84379</v>
      </c>
      <c r="BQ31" s="33"/>
      <c r="BR31" s="33">
        <v>35463</v>
      </c>
      <c r="BS31" s="13">
        <f t="shared" si="9"/>
        <v>214350</v>
      </c>
      <c r="BT31" s="33">
        <v>114605</v>
      </c>
      <c r="BU31" s="33">
        <v>62410</v>
      </c>
      <c r="BV31" s="33">
        <v>35868</v>
      </c>
      <c r="BW31" s="33"/>
      <c r="BX31" s="13">
        <f t="shared" si="14"/>
        <v>212883</v>
      </c>
      <c r="BY31" s="39">
        <v>0</v>
      </c>
      <c r="BZ31" s="39">
        <v>0</v>
      </c>
      <c r="CA31" s="33"/>
      <c r="CB31" s="33"/>
      <c r="CC31" s="33"/>
      <c r="CD31" s="33"/>
      <c r="CE31" s="33"/>
      <c r="CF31" s="33"/>
      <c r="CG31" s="33"/>
      <c r="CH31" s="40"/>
      <c r="CI31" s="33"/>
      <c r="CJ31" s="14">
        <v>93613</v>
      </c>
      <c r="CK31" s="33">
        <v>29142.066999999999</v>
      </c>
      <c r="CL31" s="33">
        <v>1533793</v>
      </c>
      <c r="CM31" s="33">
        <f t="shared" si="22"/>
        <v>1440180</v>
      </c>
      <c r="CN31" s="33">
        <v>29142.066999999999</v>
      </c>
      <c r="CO31" s="31"/>
      <c r="CP31" s="31"/>
      <c r="CQ31" s="31"/>
      <c r="CR31" s="31"/>
      <c r="CS31" s="31"/>
      <c r="CT31" s="31"/>
      <c r="CU31" s="59">
        <f t="shared" si="21"/>
        <v>1562935.067</v>
      </c>
    </row>
    <row r="32" spans="1:99" s="16" customFormat="1" ht="15.75" x14ac:dyDescent="0.2">
      <c r="A32" s="57" t="s">
        <v>188</v>
      </c>
      <c r="B32" s="42">
        <v>1064787820</v>
      </c>
      <c r="C32" s="33" t="s">
        <v>133</v>
      </c>
      <c r="D32" s="43"/>
      <c r="E32" s="43" t="s">
        <v>58</v>
      </c>
      <c r="F32" s="41" t="s">
        <v>197</v>
      </c>
      <c r="G32" s="41" t="s">
        <v>198</v>
      </c>
      <c r="H32" s="44">
        <v>6.96</v>
      </c>
      <c r="I32" s="51">
        <v>95.29</v>
      </c>
      <c r="J32" s="35">
        <v>758726</v>
      </c>
      <c r="K32" s="34"/>
      <c r="L32" s="35"/>
      <c r="M32" s="35"/>
      <c r="N32" s="35"/>
      <c r="O32" s="35"/>
      <c r="P32" s="35">
        <v>0</v>
      </c>
      <c r="Q32" s="35">
        <v>0</v>
      </c>
      <c r="R32" s="34">
        <v>18</v>
      </c>
      <c r="S32" s="35">
        <v>179070</v>
      </c>
      <c r="T32" s="35">
        <v>4</v>
      </c>
      <c r="U32" s="35">
        <v>65261</v>
      </c>
      <c r="V32" s="34">
        <v>2</v>
      </c>
      <c r="W32" s="35">
        <v>27855</v>
      </c>
      <c r="X32" s="35">
        <v>0</v>
      </c>
      <c r="Y32" s="35">
        <v>0</v>
      </c>
      <c r="Z32" s="35"/>
      <c r="AA32" s="35"/>
      <c r="AB32" s="35">
        <v>24</v>
      </c>
      <c r="AC32" s="35">
        <v>343814</v>
      </c>
      <c r="AD32" s="35">
        <v>0</v>
      </c>
      <c r="AE32" s="35">
        <v>0</v>
      </c>
      <c r="AF32" s="35"/>
      <c r="AG32" s="35"/>
      <c r="AH32" s="35"/>
      <c r="AI32" s="35"/>
      <c r="AJ32" s="35">
        <v>95.29</v>
      </c>
      <c r="AK32" s="35">
        <v>107941</v>
      </c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>
        <v>0</v>
      </c>
      <c r="BC32" s="35">
        <v>0</v>
      </c>
      <c r="BD32" s="36"/>
      <c r="BE32" s="37"/>
      <c r="BF32" s="37"/>
      <c r="BG32" s="13">
        <f t="shared" si="0"/>
        <v>1482667</v>
      </c>
      <c r="BH32" s="38"/>
      <c r="BI32" s="38"/>
      <c r="BJ32" s="33"/>
      <c r="BK32" s="33"/>
      <c r="BL32" s="33"/>
      <c r="BM32" s="13"/>
      <c r="BN32" s="33">
        <v>123506</v>
      </c>
      <c r="BO32" s="33">
        <v>14827</v>
      </c>
      <c r="BP32" s="33">
        <v>123506</v>
      </c>
      <c r="BQ32" s="33"/>
      <c r="BR32" s="33">
        <v>32929</v>
      </c>
      <c r="BS32" s="13">
        <f t="shared" si="9"/>
        <v>294768</v>
      </c>
      <c r="BT32" s="33">
        <v>164967</v>
      </c>
      <c r="BU32" s="33">
        <v>95680</v>
      </c>
      <c r="BV32" s="33">
        <v>54989</v>
      </c>
      <c r="BW32" s="33"/>
      <c r="BX32" s="13">
        <f t="shared" si="14"/>
        <v>315636</v>
      </c>
      <c r="BY32" s="39">
        <v>173333</v>
      </c>
      <c r="BZ32" s="39">
        <v>0</v>
      </c>
      <c r="CA32" s="33"/>
      <c r="CB32" s="33"/>
      <c r="CC32" s="33"/>
      <c r="CD32" s="33"/>
      <c r="CE32" s="33"/>
      <c r="CF32" s="33"/>
      <c r="CG32" s="33"/>
      <c r="CH32" s="40"/>
      <c r="CI32" s="33"/>
      <c r="CJ32" s="14">
        <v>147318</v>
      </c>
      <c r="CK32" s="33">
        <v>45860.718000000001</v>
      </c>
      <c r="CL32" s="33">
        <v>2413722</v>
      </c>
      <c r="CM32" s="33">
        <f t="shared" si="22"/>
        <v>2266404</v>
      </c>
      <c r="CN32" s="33">
        <v>45860.718000000001</v>
      </c>
      <c r="CO32" s="31"/>
      <c r="CP32" s="31"/>
      <c r="CQ32" s="31"/>
      <c r="CR32" s="31"/>
      <c r="CS32" s="31"/>
      <c r="CT32" s="31"/>
      <c r="CU32" s="59">
        <f t="shared" si="21"/>
        <v>2459582.7179999999</v>
      </c>
    </row>
    <row r="33" spans="1:99" s="16" customFormat="1" ht="15.75" x14ac:dyDescent="0.2">
      <c r="A33" s="57" t="s">
        <v>188</v>
      </c>
      <c r="B33" s="42">
        <v>1004369492</v>
      </c>
      <c r="C33" s="33" t="s">
        <v>134</v>
      </c>
      <c r="D33" s="43"/>
      <c r="E33" s="43" t="s">
        <v>58</v>
      </c>
      <c r="F33" s="41" t="s">
        <v>199</v>
      </c>
      <c r="G33" s="41" t="s">
        <v>200</v>
      </c>
      <c r="H33" s="44">
        <v>6.96</v>
      </c>
      <c r="I33" s="51">
        <v>0</v>
      </c>
      <c r="J33" s="35">
        <v>570000</v>
      </c>
      <c r="K33" s="34"/>
      <c r="L33" s="35"/>
      <c r="M33" s="35"/>
      <c r="N33" s="35"/>
      <c r="O33" s="35"/>
      <c r="P33" s="35">
        <v>0</v>
      </c>
      <c r="Q33" s="35">
        <v>0</v>
      </c>
      <c r="R33" s="34">
        <v>8</v>
      </c>
      <c r="S33" s="35">
        <v>86364</v>
      </c>
      <c r="T33" s="35">
        <v>0</v>
      </c>
      <c r="U33" s="35">
        <v>0</v>
      </c>
      <c r="V33" s="34">
        <v>0</v>
      </c>
      <c r="W33" s="35">
        <v>0</v>
      </c>
      <c r="X33" s="35">
        <v>0</v>
      </c>
      <c r="Y33" s="35">
        <v>0</v>
      </c>
      <c r="Z33" s="35"/>
      <c r="AA33" s="35"/>
      <c r="AB33" s="35">
        <v>5</v>
      </c>
      <c r="AC33" s="35">
        <v>77727</v>
      </c>
      <c r="AD33" s="35">
        <v>0</v>
      </c>
      <c r="AE33" s="35">
        <v>0</v>
      </c>
      <c r="AF33" s="35"/>
      <c r="AG33" s="35"/>
      <c r="AH33" s="35"/>
      <c r="AI33" s="35"/>
      <c r="AJ33" s="35">
        <v>0</v>
      </c>
      <c r="AK33" s="35">
        <v>74729</v>
      </c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>
        <v>0</v>
      </c>
      <c r="BC33" s="35">
        <v>0</v>
      </c>
      <c r="BD33" s="36"/>
      <c r="BE33" s="37"/>
      <c r="BF33" s="37"/>
      <c r="BG33" s="13">
        <f t="shared" si="0"/>
        <v>808820</v>
      </c>
      <c r="BH33" s="38"/>
      <c r="BI33" s="38"/>
      <c r="BJ33" s="33"/>
      <c r="BK33" s="33"/>
      <c r="BL33" s="33"/>
      <c r="BM33" s="13"/>
      <c r="BN33" s="33">
        <v>67375</v>
      </c>
      <c r="BO33" s="33">
        <v>8088</v>
      </c>
      <c r="BP33" s="33">
        <v>67375</v>
      </c>
      <c r="BQ33" s="33"/>
      <c r="BR33" s="33">
        <v>24738</v>
      </c>
      <c r="BS33" s="13">
        <f t="shared" si="9"/>
        <v>167576</v>
      </c>
      <c r="BT33" s="33">
        <v>88091</v>
      </c>
      <c r="BU33" s="33">
        <v>51093</v>
      </c>
      <c r="BV33" s="33">
        <v>29364</v>
      </c>
      <c r="BW33" s="33"/>
      <c r="BX33" s="13">
        <f t="shared" si="14"/>
        <v>168548</v>
      </c>
      <c r="BY33" s="39">
        <v>0</v>
      </c>
      <c r="BZ33" s="39">
        <v>71521</v>
      </c>
      <c r="CA33" s="33"/>
      <c r="CB33" s="33"/>
      <c r="CC33" s="33"/>
      <c r="CD33" s="33"/>
      <c r="CE33" s="33"/>
      <c r="CF33" s="33"/>
      <c r="CG33" s="33"/>
      <c r="CH33" s="40"/>
      <c r="CI33" s="33"/>
      <c r="CJ33" s="14">
        <v>79070</v>
      </c>
      <c r="CK33" s="33">
        <v>24615.165000000001</v>
      </c>
      <c r="CL33" s="33">
        <v>1295535</v>
      </c>
      <c r="CM33" s="33">
        <f t="shared" si="22"/>
        <v>1216465</v>
      </c>
      <c r="CN33" s="33">
        <v>24615.165000000001</v>
      </c>
      <c r="CO33" s="31"/>
      <c r="CP33" s="31"/>
      <c r="CQ33" s="31"/>
      <c r="CR33" s="31"/>
      <c r="CS33" s="31"/>
      <c r="CT33" s="31"/>
      <c r="CU33" s="59">
        <f t="shared" si="21"/>
        <v>1320150.165</v>
      </c>
    </row>
    <row r="34" spans="1:99" s="16" customFormat="1" ht="15.75" x14ac:dyDescent="0.2">
      <c r="A34" s="57" t="s">
        <v>188</v>
      </c>
      <c r="B34" s="42">
        <v>1040760787</v>
      </c>
      <c r="C34" s="33" t="s">
        <v>135</v>
      </c>
      <c r="D34" s="43"/>
      <c r="E34" s="43" t="s">
        <v>58</v>
      </c>
      <c r="F34" s="41" t="s">
        <v>201</v>
      </c>
      <c r="G34" s="41" t="s">
        <v>191</v>
      </c>
      <c r="H34" s="44">
        <v>6.96</v>
      </c>
      <c r="I34" s="51">
        <v>0</v>
      </c>
      <c r="J34" s="35">
        <v>350181</v>
      </c>
      <c r="K34" s="34"/>
      <c r="L34" s="35"/>
      <c r="M34" s="35"/>
      <c r="N34" s="35"/>
      <c r="O34" s="35"/>
      <c r="P34" s="35">
        <v>0</v>
      </c>
      <c r="Q34" s="35">
        <v>0</v>
      </c>
      <c r="R34" s="34">
        <v>0</v>
      </c>
      <c r="S34" s="35">
        <v>0</v>
      </c>
      <c r="T34" s="35">
        <v>0</v>
      </c>
      <c r="U34" s="35">
        <v>0</v>
      </c>
      <c r="V34" s="34">
        <v>0</v>
      </c>
      <c r="W34" s="35">
        <v>0</v>
      </c>
      <c r="X34" s="35">
        <v>0</v>
      </c>
      <c r="Y34" s="35">
        <v>0</v>
      </c>
      <c r="Z34" s="35"/>
      <c r="AA34" s="35"/>
      <c r="AB34" s="35">
        <v>0</v>
      </c>
      <c r="AC34" s="35">
        <v>0</v>
      </c>
      <c r="AD34" s="35">
        <v>0</v>
      </c>
      <c r="AE34" s="35">
        <v>0</v>
      </c>
      <c r="AF34" s="35"/>
      <c r="AG34" s="35"/>
      <c r="AH34" s="35"/>
      <c r="AI34" s="35"/>
      <c r="AJ34" s="35">
        <v>0</v>
      </c>
      <c r="AK34" s="35">
        <v>49819</v>
      </c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>
        <v>0</v>
      </c>
      <c r="BC34" s="35">
        <v>0</v>
      </c>
      <c r="BD34" s="36"/>
      <c r="BE34" s="37"/>
      <c r="BF34" s="37"/>
      <c r="BG34" s="13">
        <f t="shared" si="0"/>
        <v>400000</v>
      </c>
      <c r="BH34" s="38"/>
      <c r="BI34" s="38"/>
      <c r="BJ34" s="33"/>
      <c r="BK34" s="33"/>
      <c r="BL34" s="33"/>
      <c r="BM34" s="13"/>
      <c r="BN34" s="33">
        <v>33320</v>
      </c>
      <c r="BO34" s="33">
        <v>4000</v>
      </c>
      <c r="BP34" s="33">
        <v>33320</v>
      </c>
      <c r="BQ34" s="33"/>
      <c r="BR34" s="33">
        <v>15198</v>
      </c>
      <c r="BS34" s="13">
        <f t="shared" si="9"/>
        <v>85838</v>
      </c>
      <c r="BT34" s="33">
        <v>42022</v>
      </c>
      <c r="BU34" s="33">
        <v>24373</v>
      </c>
      <c r="BV34" s="33">
        <v>14007</v>
      </c>
      <c r="BW34" s="33"/>
      <c r="BX34" s="13">
        <f t="shared" si="14"/>
        <v>80402</v>
      </c>
      <c r="BY34" s="39">
        <v>20000</v>
      </c>
      <c r="BZ34" s="39">
        <v>20000</v>
      </c>
      <c r="CA34" s="33"/>
      <c r="CB34" s="33"/>
      <c r="CC34" s="33"/>
      <c r="CD34" s="33"/>
      <c r="CE34" s="33"/>
      <c r="CF34" s="33"/>
      <c r="CG34" s="33"/>
      <c r="CH34" s="40"/>
      <c r="CI34" s="33"/>
      <c r="CJ34" s="14">
        <v>39406</v>
      </c>
      <c r="CK34" s="33">
        <v>12267.273999999999</v>
      </c>
      <c r="CL34" s="33">
        <v>645646</v>
      </c>
      <c r="CM34" s="33">
        <f>CL34-CJ34-110000</f>
        <v>496240</v>
      </c>
      <c r="CN34" s="33">
        <v>12267.273999999999</v>
      </c>
      <c r="CO34" s="31"/>
      <c r="CP34" s="31"/>
      <c r="CQ34" s="31"/>
      <c r="CR34" s="31"/>
      <c r="CS34" s="31"/>
      <c r="CT34" s="31"/>
      <c r="CU34" s="59">
        <f>(CJ34+CM34+CN34)</f>
        <v>547913.27399999998</v>
      </c>
    </row>
    <row r="35" spans="1:99" s="16" customFormat="1" ht="15.75" x14ac:dyDescent="0.2">
      <c r="A35" s="57" t="s">
        <v>188</v>
      </c>
      <c r="B35" s="42">
        <v>1032511875</v>
      </c>
      <c r="C35" s="33" t="s">
        <v>136</v>
      </c>
      <c r="D35" s="43"/>
      <c r="E35" s="43" t="s">
        <v>58</v>
      </c>
      <c r="F35" s="41" t="s">
        <v>202</v>
      </c>
      <c r="G35" s="41"/>
      <c r="H35" s="44">
        <v>6.96</v>
      </c>
      <c r="I35" s="51">
        <v>109.95</v>
      </c>
      <c r="J35" s="35">
        <v>875453</v>
      </c>
      <c r="K35" s="34"/>
      <c r="L35" s="35"/>
      <c r="M35" s="35"/>
      <c r="N35" s="35"/>
      <c r="O35" s="35"/>
      <c r="P35" s="35">
        <v>0</v>
      </c>
      <c r="Q35" s="35">
        <v>0</v>
      </c>
      <c r="R35" s="34">
        <v>17</v>
      </c>
      <c r="S35" s="35">
        <v>169122</v>
      </c>
      <c r="T35" s="35">
        <v>0</v>
      </c>
      <c r="U35" s="35">
        <v>0</v>
      </c>
      <c r="V35" s="34">
        <v>0</v>
      </c>
      <c r="W35" s="35">
        <v>0</v>
      </c>
      <c r="X35" s="35">
        <v>0</v>
      </c>
      <c r="Y35" s="35">
        <v>0</v>
      </c>
      <c r="Z35" s="35"/>
      <c r="AA35" s="35"/>
      <c r="AB35" s="35">
        <v>9</v>
      </c>
      <c r="AC35" s="35">
        <v>128930</v>
      </c>
      <c r="AD35" s="35">
        <v>0</v>
      </c>
      <c r="AE35" s="35">
        <v>0</v>
      </c>
      <c r="AF35" s="35"/>
      <c r="AG35" s="35"/>
      <c r="AH35" s="35"/>
      <c r="AI35" s="35"/>
      <c r="AJ35" s="35">
        <v>109.95</v>
      </c>
      <c r="AK35" s="35">
        <v>124548</v>
      </c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>
        <v>0</v>
      </c>
      <c r="BC35" s="35">
        <v>0</v>
      </c>
      <c r="BD35" s="36"/>
      <c r="BE35" s="37"/>
      <c r="BF35" s="37"/>
      <c r="BG35" s="13">
        <f t="shared" si="0"/>
        <v>1298053</v>
      </c>
      <c r="BH35" s="38"/>
      <c r="BI35" s="38"/>
      <c r="BJ35" s="33"/>
      <c r="BK35" s="33"/>
      <c r="BL35" s="33"/>
      <c r="BM35" s="13"/>
      <c r="BN35" s="33">
        <v>108128</v>
      </c>
      <c r="BO35" s="33">
        <v>12980</v>
      </c>
      <c r="BP35" s="33">
        <v>108128</v>
      </c>
      <c r="BQ35" s="33"/>
      <c r="BR35" s="33">
        <v>37995</v>
      </c>
      <c r="BS35" s="13">
        <f t="shared" si="9"/>
        <v>267231</v>
      </c>
      <c r="BT35" s="33">
        <v>140821</v>
      </c>
      <c r="BU35" s="33">
        <v>81677</v>
      </c>
      <c r="BV35" s="33">
        <v>46940</v>
      </c>
      <c r="BW35" s="33"/>
      <c r="BX35" s="13">
        <f t="shared" si="14"/>
        <v>269438</v>
      </c>
      <c r="BY35" s="39">
        <v>120000</v>
      </c>
      <c r="BZ35" s="39">
        <v>120000</v>
      </c>
      <c r="CA35" s="33"/>
      <c r="CB35" s="33"/>
      <c r="CC35" s="33"/>
      <c r="CD35" s="33"/>
      <c r="CE35" s="33"/>
      <c r="CF35" s="33"/>
      <c r="CG35" s="33"/>
      <c r="CH35" s="40"/>
      <c r="CI35" s="33"/>
      <c r="CJ35" s="14">
        <v>134856</v>
      </c>
      <c r="CK35" s="33">
        <v>41981.981999999996</v>
      </c>
      <c r="CL35" s="33">
        <v>2209578</v>
      </c>
      <c r="CM35" s="33">
        <f t="shared" si="22"/>
        <v>2074722</v>
      </c>
      <c r="CN35" s="33">
        <v>41981.981999999996</v>
      </c>
      <c r="CO35" s="31"/>
      <c r="CP35" s="31"/>
      <c r="CQ35" s="31"/>
      <c r="CR35" s="31"/>
      <c r="CS35" s="31"/>
      <c r="CT35" s="31"/>
      <c r="CU35" s="59">
        <f t="shared" si="21"/>
        <v>2251559.9819999998</v>
      </c>
    </row>
    <row r="36" spans="1:99" s="16" customFormat="1" ht="15.75" x14ac:dyDescent="0.2">
      <c r="A36" s="57" t="s">
        <v>188</v>
      </c>
      <c r="B36" s="42">
        <v>1152192181</v>
      </c>
      <c r="C36" s="33" t="s">
        <v>137</v>
      </c>
      <c r="D36" s="43"/>
      <c r="E36" s="43" t="s">
        <v>58</v>
      </c>
      <c r="F36" s="41" t="s">
        <v>203</v>
      </c>
      <c r="G36" s="41"/>
      <c r="H36" s="44">
        <v>6.96</v>
      </c>
      <c r="I36" s="51">
        <v>109.95</v>
      </c>
      <c r="J36" s="35">
        <v>1000000</v>
      </c>
      <c r="K36" s="34"/>
      <c r="L36" s="35"/>
      <c r="M36" s="35"/>
      <c r="N36" s="35"/>
      <c r="O36" s="35"/>
      <c r="P36" s="35">
        <v>0</v>
      </c>
      <c r="Q36" s="35">
        <v>0</v>
      </c>
      <c r="R36" s="34">
        <v>0</v>
      </c>
      <c r="S36" s="35">
        <v>0</v>
      </c>
      <c r="T36" s="35">
        <v>0</v>
      </c>
      <c r="U36" s="35">
        <v>0</v>
      </c>
      <c r="V36" s="34">
        <v>0</v>
      </c>
      <c r="W36" s="35">
        <v>0</v>
      </c>
      <c r="X36" s="35">
        <v>0</v>
      </c>
      <c r="Y36" s="35">
        <v>0</v>
      </c>
      <c r="Z36" s="35"/>
      <c r="AA36" s="35"/>
      <c r="AB36" s="35">
        <v>0</v>
      </c>
      <c r="AC36" s="35">
        <v>0</v>
      </c>
      <c r="AD36" s="35">
        <v>0</v>
      </c>
      <c r="AE36" s="35">
        <v>0</v>
      </c>
      <c r="AF36" s="35"/>
      <c r="AG36" s="35"/>
      <c r="AH36" s="35"/>
      <c r="AI36" s="35"/>
      <c r="AJ36" s="35">
        <v>109.95</v>
      </c>
      <c r="AK36" s="35">
        <v>124548</v>
      </c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>
        <v>0</v>
      </c>
      <c r="BC36" s="35">
        <v>0</v>
      </c>
      <c r="BD36" s="36"/>
      <c r="BE36" s="37"/>
      <c r="BF36" s="37"/>
      <c r="BG36" s="13">
        <f t="shared" si="0"/>
        <v>1124548</v>
      </c>
      <c r="BH36" s="38"/>
      <c r="BI36" s="38"/>
      <c r="BJ36" s="33"/>
      <c r="BK36" s="33"/>
      <c r="BL36" s="33"/>
      <c r="BM36" s="13"/>
      <c r="BN36" s="33">
        <v>93675</v>
      </c>
      <c r="BO36" s="33">
        <v>11245</v>
      </c>
      <c r="BP36" s="33">
        <v>93675</v>
      </c>
      <c r="BQ36" s="33"/>
      <c r="BR36" s="33">
        <v>43400</v>
      </c>
      <c r="BS36" s="13">
        <f t="shared" si="9"/>
        <v>241995</v>
      </c>
      <c r="BT36" s="33">
        <v>120000</v>
      </c>
      <c r="BU36" s="33">
        <v>69600</v>
      </c>
      <c r="BV36" s="33">
        <v>40000</v>
      </c>
      <c r="BW36" s="33"/>
      <c r="BX36" s="13">
        <f t="shared" si="14"/>
        <v>229600</v>
      </c>
      <c r="BY36" s="39">
        <v>147151</v>
      </c>
      <c r="BZ36" s="39">
        <v>147151</v>
      </c>
      <c r="CA36" s="33"/>
      <c r="CB36" s="33"/>
      <c r="CC36" s="33"/>
      <c r="CD36" s="33"/>
      <c r="CE36" s="33"/>
      <c r="CF36" s="33"/>
      <c r="CG36" s="33"/>
      <c r="CH36" s="40"/>
      <c r="CI36" s="33"/>
      <c r="CJ36" s="14">
        <v>122880</v>
      </c>
      <c r="CK36" s="33">
        <v>38253.174999999996</v>
      </c>
      <c r="CL36" s="33">
        <v>2013325</v>
      </c>
      <c r="CM36" s="33">
        <f t="shared" si="22"/>
        <v>1890445</v>
      </c>
      <c r="CN36" s="33">
        <v>38253.174999999996</v>
      </c>
      <c r="CO36" s="31"/>
      <c r="CP36" s="31"/>
      <c r="CQ36" s="31"/>
      <c r="CR36" s="31"/>
      <c r="CS36" s="31"/>
      <c r="CT36" s="31"/>
      <c r="CU36" s="59">
        <f t="shared" si="21"/>
        <v>2051578.175</v>
      </c>
    </row>
    <row r="37" spans="1:99" s="16" customFormat="1" ht="15.75" x14ac:dyDescent="0.2">
      <c r="A37" s="57" t="s">
        <v>188</v>
      </c>
      <c r="B37" s="42">
        <v>98704947</v>
      </c>
      <c r="C37" s="33" t="s">
        <v>138</v>
      </c>
      <c r="D37" s="43"/>
      <c r="E37" s="43" t="s">
        <v>58</v>
      </c>
      <c r="F37" s="41" t="s">
        <v>197</v>
      </c>
      <c r="G37" s="41" t="s">
        <v>204</v>
      </c>
      <c r="H37" s="44">
        <v>6.96</v>
      </c>
      <c r="I37" s="51">
        <v>109.95</v>
      </c>
      <c r="J37" s="35">
        <v>975000</v>
      </c>
      <c r="K37" s="34"/>
      <c r="L37" s="35"/>
      <c r="M37" s="35"/>
      <c r="N37" s="35"/>
      <c r="O37" s="35"/>
      <c r="P37" s="35">
        <v>0</v>
      </c>
      <c r="Q37" s="35">
        <v>0</v>
      </c>
      <c r="R37" s="34">
        <v>13.5</v>
      </c>
      <c r="S37" s="35">
        <v>149574</v>
      </c>
      <c r="T37" s="35">
        <v>0</v>
      </c>
      <c r="U37" s="35">
        <v>0</v>
      </c>
      <c r="V37" s="34">
        <v>8</v>
      </c>
      <c r="W37" s="35">
        <v>124091</v>
      </c>
      <c r="X37" s="35">
        <v>0</v>
      </c>
      <c r="Y37" s="35">
        <v>0</v>
      </c>
      <c r="Z37" s="35"/>
      <c r="AA37" s="35"/>
      <c r="AB37" s="35">
        <v>23</v>
      </c>
      <c r="AC37" s="35">
        <v>366955</v>
      </c>
      <c r="AD37" s="35">
        <v>0</v>
      </c>
      <c r="AE37" s="35">
        <v>0</v>
      </c>
      <c r="AF37" s="35"/>
      <c r="AG37" s="35"/>
      <c r="AH37" s="35"/>
      <c r="AI37" s="35"/>
      <c r="AJ37" s="35">
        <v>109.95</v>
      </c>
      <c r="AK37" s="35">
        <v>124548</v>
      </c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>
        <v>0</v>
      </c>
      <c r="BC37" s="35">
        <v>0</v>
      </c>
      <c r="BD37" s="36"/>
      <c r="BE37" s="37"/>
      <c r="BF37" s="37"/>
      <c r="BG37" s="13">
        <f t="shared" si="0"/>
        <v>1740168</v>
      </c>
      <c r="BH37" s="38"/>
      <c r="BI37" s="38"/>
      <c r="BJ37" s="33"/>
      <c r="BK37" s="33"/>
      <c r="BL37" s="33"/>
      <c r="BM37" s="13"/>
      <c r="BN37" s="33">
        <v>144957</v>
      </c>
      <c r="BO37" s="33">
        <v>17402</v>
      </c>
      <c r="BP37" s="33">
        <v>144957</v>
      </c>
      <c r="BQ37" s="33"/>
      <c r="BR37" s="33">
        <v>42315</v>
      </c>
      <c r="BS37" s="13">
        <f t="shared" si="9"/>
        <v>349631</v>
      </c>
      <c r="BT37" s="33">
        <v>193875</v>
      </c>
      <c r="BU37" s="33">
        <v>112447</v>
      </c>
      <c r="BV37" s="33">
        <v>64625</v>
      </c>
      <c r="BW37" s="33"/>
      <c r="BX37" s="13">
        <f t="shared" si="14"/>
        <v>370947</v>
      </c>
      <c r="BY37" s="39">
        <v>300000</v>
      </c>
      <c r="BZ37" s="39">
        <v>0</v>
      </c>
      <c r="CA37" s="33"/>
      <c r="CB37" s="33"/>
      <c r="CC37" s="33"/>
      <c r="CD37" s="33"/>
      <c r="CE37" s="33"/>
      <c r="CF37" s="33"/>
      <c r="CG37" s="33"/>
      <c r="CH37" s="40"/>
      <c r="CI37" s="33"/>
      <c r="CJ37" s="14">
        <v>179448</v>
      </c>
      <c r="CK37" s="33">
        <v>55863.686000000002</v>
      </c>
      <c r="CL37" s="33">
        <v>2940194</v>
      </c>
      <c r="CM37" s="33">
        <f t="shared" si="22"/>
        <v>2760746</v>
      </c>
      <c r="CN37" s="33">
        <v>55863.686000000002</v>
      </c>
      <c r="CO37" s="31"/>
      <c r="CP37" s="31"/>
      <c r="CQ37" s="31"/>
      <c r="CR37" s="31"/>
      <c r="CS37" s="31"/>
      <c r="CT37" s="31"/>
      <c r="CU37" s="59">
        <f t="shared" si="21"/>
        <v>2996057.6860000002</v>
      </c>
    </row>
    <row r="38" spans="1:99" s="16" customFormat="1" ht="15.75" x14ac:dyDescent="0.2">
      <c r="A38" s="57" t="s">
        <v>188</v>
      </c>
      <c r="B38" s="42">
        <v>1146437946</v>
      </c>
      <c r="C38" s="33" t="s">
        <v>139</v>
      </c>
      <c r="D38" s="43"/>
      <c r="E38" s="43" t="s">
        <v>58</v>
      </c>
      <c r="F38" s="41" t="s">
        <v>205</v>
      </c>
      <c r="G38" s="41"/>
      <c r="H38" s="44">
        <v>6.96</v>
      </c>
      <c r="I38" s="51">
        <v>109.95</v>
      </c>
      <c r="J38" s="35">
        <v>875453</v>
      </c>
      <c r="K38" s="34"/>
      <c r="L38" s="35"/>
      <c r="M38" s="35"/>
      <c r="N38" s="35"/>
      <c r="O38" s="35"/>
      <c r="P38" s="35">
        <v>0</v>
      </c>
      <c r="Q38" s="35">
        <v>0</v>
      </c>
      <c r="R38" s="34">
        <v>0</v>
      </c>
      <c r="S38" s="35">
        <v>0</v>
      </c>
      <c r="T38" s="35">
        <v>0</v>
      </c>
      <c r="U38" s="35">
        <v>0</v>
      </c>
      <c r="V38" s="34">
        <v>0</v>
      </c>
      <c r="W38" s="35">
        <v>0</v>
      </c>
      <c r="X38" s="35">
        <v>0</v>
      </c>
      <c r="Y38" s="35">
        <v>0</v>
      </c>
      <c r="Z38" s="35"/>
      <c r="AA38" s="35"/>
      <c r="AB38" s="35">
        <v>14</v>
      </c>
      <c r="AC38" s="35">
        <v>200558</v>
      </c>
      <c r="AD38" s="35">
        <v>0</v>
      </c>
      <c r="AE38" s="35">
        <v>0</v>
      </c>
      <c r="AF38" s="35"/>
      <c r="AG38" s="35"/>
      <c r="AH38" s="35"/>
      <c r="AI38" s="35"/>
      <c r="AJ38" s="35">
        <v>109.95</v>
      </c>
      <c r="AK38" s="35">
        <v>124548</v>
      </c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>
        <v>0</v>
      </c>
      <c r="BC38" s="35">
        <v>0</v>
      </c>
      <c r="BD38" s="36"/>
      <c r="BE38" s="37"/>
      <c r="BF38" s="37"/>
      <c r="BG38" s="13">
        <f t="shared" si="0"/>
        <v>1200559</v>
      </c>
      <c r="BH38" s="38"/>
      <c r="BI38" s="38"/>
      <c r="BJ38" s="33"/>
      <c r="BK38" s="33"/>
      <c r="BL38" s="33"/>
      <c r="BM38" s="13"/>
      <c r="BN38" s="33">
        <v>100006</v>
      </c>
      <c r="BO38" s="33">
        <v>12006</v>
      </c>
      <c r="BP38" s="33">
        <v>100006</v>
      </c>
      <c r="BQ38" s="33"/>
      <c r="BR38" s="33">
        <v>37995</v>
      </c>
      <c r="BS38" s="13">
        <f t="shared" si="9"/>
        <v>250013</v>
      </c>
      <c r="BT38" s="33">
        <v>129121</v>
      </c>
      <c r="BU38" s="33">
        <v>74891</v>
      </c>
      <c r="BV38" s="33">
        <v>43040</v>
      </c>
      <c r="BW38" s="33"/>
      <c r="BX38" s="13">
        <f t="shared" si="14"/>
        <v>247052</v>
      </c>
      <c r="BY38" s="39">
        <v>125000</v>
      </c>
      <c r="BZ38" s="39">
        <v>0</v>
      </c>
      <c r="CA38" s="33"/>
      <c r="CB38" s="33"/>
      <c r="CC38" s="33"/>
      <c r="CD38" s="33"/>
      <c r="CE38" s="33"/>
      <c r="CF38" s="33"/>
      <c r="CG38" s="33"/>
      <c r="CH38" s="40"/>
      <c r="CI38" s="33"/>
      <c r="CJ38" s="14">
        <v>118470</v>
      </c>
      <c r="CK38" s="33">
        <v>36880.786</v>
      </c>
      <c r="CL38" s="33">
        <v>1941094</v>
      </c>
      <c r="CM38" s="33">
        <f t="shared" si="22"/>
        <v>1822624</v>
      </c>
      <c r="CN38" s="33">
        <v>36880.786</v>
      </c>
      <c r="CO38" s="31"/>
      <c r="CP38" s="31"/>
      <c r="CQ38" s="31"/>
      <c r="CR38" s="31"/>
      <c r="CS38" s="31"/>
      <c r="CT38" s="31"/>
      <c r="CU38" s="59">
        <f t="shared" si="21"/>
        <v>1977974.7860000001</v>
      </c>
    </row>
    <row r="39" spans="1:99" s="16" customFormat="1" ht="15.75" x14ac:dyDescent="0.2">
      <c r="A39" s="57" t="s">
        <v>188</v>
      </c>
      <c r="B39" s="42">
        <v>1005179909</v>
      </c>
      <c r="C39" s="33" t="s">
        <v>140</v>
      </c>
      <c r="D39" s="43"/>
      <c r="E39" s="43" t="s">
        <v>58</v>
      </c>
      <c r="F39" s="41" t="s">
        <v>206</v>
      </c>
      <c r="G39" s="41"/>
      <c r="H39" s="44">
        <v>6.96</v>
      </c>
      <c r="I39" s="51">
        <v>109.95</v>
      </c>
      <c r="J39" s="35">
        <v>875453</v>
      </c>
      <c r="K39" s="34"/>
      <c r="L39" s="35"/>
      <c r="M39" s="35"/>
      <c r="N39" s="35"/>
      <c r="O39" s="35"/>
      <c r="P39" s="35">
        <v>0</v>
      </c>
      <c r="Q39" s="35">
        <v>0</v>
      </c>
      <c r="R39" s="34">
        <v>2</v>
      </c>
      <c r="S39" s="35">
        <v>19897</v>
      </c>
      <c r="T39" s="35">
        <v>0</v>
      </c>
      <c r="U39" s="35">
        <v>0</v>
      </c>
      <c r="V39" s="34">
        <v>8</v>
      </c>
      <c r="W39" s="35">
        <v>111421</v>
      </c>
      <c r="X39" s="35">
        <v>0</v>
      </c>
      <c r="Y39" s="35">
        <v>0</v>
      </c>
      <c r="Z39" s="35"/>
      <c r="AA39" s="35"/>
      <c r="AB39" s="35">
        <v>8</v>
      </c>
      <c r="AC39" s="35">
        <v>114605</v>
      </c>
      <c r="AD39" s="35">
        <v>0</v>
      </c>
      <c r="AE39" s="35">
        <v>0</v>
      </c>
      <c r="AF39" s="35"/>
      <c r="AG39" s="35"/>
      <c r="AH39" s="35"/>
      <c r="AI39" s="35"/>
      <c r="AJ39" s="35">
        <v>109.95</v>
      </c>
      <c r="AK39" s="35">
        <v>124548</v>
      </c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>
        <v>0</v>
      </c>
      <c r="BC39" s="35">
        <v>0</v>
      </c>
      <c r="BD39" s="36"/>
      <c r="BE39" s="37"/>
      <c r="BF39" s="37"/>
      <c r="BG39" s="13">
        <f t="shared" si="0"/>
        <v>1245924</v>
      </c>
      <c r="BH39" s="38"/>
      <c r="BI39" s="38"/>
      <c r="BJ39" s="33"/>
      <c r="BK39" s="33"/>
      <c r="BL39" s="33"/>
      <c r="BM39" s="13"/>
      <c r="BN39" s="33">
        <v>103785</v>
      </c>
      <c r="BO39" s="33">
        <v>12459</v>
      </c>
      <c r="BP39" s="33">
        <v>103785</v>
      </c>
      <c r="BQ39" s="33"/>
      <c r="BR39" s="33">
        <v>37995</v>
      </c>
      <c r="BS39" s="13">
        <f t="shared" si="9"/>
        <v>258024</v>
      </c>
      <c r="BT39" s="33">
        <v>134566</v>
      </c>
      <c r="BU39" s="33">
        <v>78049</v>
      </c>
      <c r="BV39" s="33">
        <v>44855</v>
      </c>
      <c r="BW39" s="33"/>
      <c r="BX39" s="13">
        <f t="shared" si="14"/>
        <v>257470</v>
      </c>
      <c r="BY39" s="39">
        <v>125000</v>
      </c>
      <c r="BZ39" s="39">
        <v>0</v>
      </c>
      <c r="CA39" s="33"/>
      <c r="CB39" s="33"/>
      <c r="CC39" s="33"/>
      <c r="CD39" s="33"/>
      <c r="CE39" s="33"/>
      <c r="CF39" s="33"/>
      <c r="CG39" s="33"/>
      <c r="CH39" s="40"/>
      <c r="CI39" s="33"/>
      <c r="CJ39" s="14">
        <v>122616</v>
      </c>
      <c r="CK39" s="33">
        <v>38171.646000000001</v>
      </c>
      <c r="CL39" s="33">
        <v>2009034</v>
      </c>
      <c r="CM39" s="33">
        <f t="shared" si="22"/>
        <v>1886418</v>
      </c>
      <c r="CN39" s="33">
        <v>38171.646000000001</v>
      </c>
      <c r="CO39" s="31"/>
      <c r="CP39" s="31"/>
      <c r="CQ39" s="31"/>
      <c r="CR39" s="31"/>
      <c r="CS39" s="31"/>
      <c r="CT39" s="31"/>
      <c r="CU39" s="59">
        <f t="shared" si="21"/>
        <v>2047205.6459999999</v>
      </c>
    </row>
    <row r="40" spans="1:99" s="16" customFormat="1" ht="15.75" x14ac:dyDescent="0.2">
      <c r="A40" s="57" t="s">
        <v>188</v>
      </c>
      <c r="B40" s="42">
        <v>1107524806</v>
      </c>
      <c r="C40" s="33" t="s">
        <v>141</v>
      </c>
      <c r="D40" s="43"/>
      <c r="E40" s="43" t="s">
        <v>58</v>
      </c>
      <c r="F40" s="41" t="s">
        <v>207</v>
      </c>
      <c r="G40" s="41"/>
      <c r="H40" s="44">
        <v>0.52</v>
      </c>
      <c r="I40" s="51">
        <v>109.95</v>
      </c>
      <c r="J40" s="35">
        <v>1000000</v>
      </c>
      <c r="K40" s="34"/>
      <c r="L40" s="35"/>
      <c r="M40" s="35"/>
      <c r="N40" s="35"/>
      <c r="O40" s="35"/>
      <c r="P40" s="35">
        <v>0</v>
      </c>
      <c r="Q40" s="35">
        <v>0</v>
      </c>
      <c r="R40" s="34">
        <v>18.5</v>
      </c>
      <c r="S40" s="35">
        <v>210227</v>
      </c>
      <c r="T40" s="35">
        <v>0</v>
      </c>
      <c r="U40" s="35">
        <v>0</v>
      </c>
      <c r="V40" s="34">
        <v>0</v>
      </c>
      <c r="W40" s="35">
        <v>0</v>
      </c>
      <c r="X40" s="35">
        <v>0</v>
      </c>
      <c r="Y40" s="35">
        <v>0</v>
      </c>
      <c r="Z40" s="35"/>
      <c r="AA40" s="35"/>
      <c r="AB40" s="35">
        <v>0</v>
      </c>
      <c r="AC40" s="35">
        <v>0</v>
      </c>
      <c r="AD40" s="35">
        <v>0</v>
      </c>
      <c r="AE40" s="35">
        <v>0</v>
      </c>
      <c r="AF40" s="35"/>
      <c r="AG40" s="35"/>
      <c r="AH40" s="35"/>
      <c r="AI40" s="35"/>
      <c r="AJ40" s="35">
        <v>109.95</v>
      </c>
      <c r="AK40" s="35">
        <v>124548</v>
      </c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>
        <v>0</v>
      </c>
      <c r="BC40" s="35">
        <v>0</v>
      </c>
      <c r="BD40" s="36"/>
      <c r="BE40" s="37"/>
      <c r="BF40" s="37"/>
      <c r="BG40" s="13">
        <f t="shared" si="0"/>
        <v>1334775</v>
      </c>
      <c r="BH40" s="38"/>
      <c r="BI40" s="38"/>
      <c r="BJ40" s="33"/>
      <c r="BK40" s="33"/>
      <c r="BL40" s="33"/>
      <c r="BM40" s="13"/>
      <c r="BN40" s="33">
        <v>111187</v>
      </c>
      <c r="BO40" s="33">
        <v>13347</v>
      </c>
      <c r="BP40" s="33">
        <v>111187</v>
      </c>
      <c r="BQ40" s="33"/>
      <c r="BR40" s="33">
        <v>43400</v>
      </c>
      <c r="BS40" s="13">
        <f t="shared" si="9"/>
        <v>279121</v>
      </c>
      <c r="BT40" s="33">
        <v>145227</v>
      </c>
      <c r="BU40" s="33">
        <v>6317</v>
      </c>
      <c r="BV40" s="33">
        <v>48409</v>
      </c>
      <c r="BW40" s="33"/>
      <c r="BX40" s="13">
        <f t="shared" si="14"/>
        <v>199953</v>
      </c>
      <c r="BY40" s="39">
        <v>31553</v>
      </c>
      <c r="BZ40" s="39">
        <v>0</v>
      </c>
      <c r="CA40" s="33"/>
      <c r="CB40" s="33"/>
      <c r="CC40" s="33"/>
      <c r="CD40" s="33"/>
      <c r="CE40" s="33"/>
      <c r="CF40" s="33"/>
      <c r="CG40" s="33"/>
      <c r="CH40" s="40"/>
      <c r="CI40" s="33"/>
      <c r="CJ40" s="14">
        <v>119952</v>
      </c>
      <c r="CK40" s="33">
        <v>37341.726000000002</v>
      </c>
      <c r="CL40" s="33">
        <v>1965354</v>
      </c>
      <c r="CM40" s="33">
        <f t="shared" si="22"/>
        <v>1845402</v>
      </c>
      <c r="CN40" s="33">
        <v>37341.726000000002</v>
      </c>
      <c r="CO40" s="31"/>
      <c r="CP40" s="31"/>
      <c r="CQ40" s="31"/>
      <c r="CR40" s="31"/>
      <c r="CS40" s="31"/>
      <c r="CT40" s="31"/>
      <c r="CU40" s="59">
        <f t="shared" si="21"/>
        <v>2002695.726</v>
      </c>
    </row>
    <row r="41" spans="1:99" s="16" customFormat="1" ht="15.75" x14ac:dyDescent="0.2">
      <c r="A41" s="57" t="s">
        <v>188</v>
      </c>
      <c r="B41" s="42">
        <v>1111541440</v>
      </c>
      <c r="C41" s="33" t="s">
        <v>142</v>
      </c>
      <c r="D41" s="43"/>
      <c r="E41" s="43" t="s">
        <v>58</v>
      </c>
      <c r="F41" s="41" t="s">
        <v>208</v>
      </c>
      <c r="G41" s="41"/>
      <c r="H41" s="44">
        <v>0.52</v>
      </c>
      <c r="I41" s="51">
        <v>109.95</v>
      </c>
      <c r="J41" s="35">
        <v>875453</v>
      </c>
      <c r="K41" s="34"/>
      <c r="L41" s="35"/>
      <c r="M41" s="35"/>
      <c r="N41" s="35"/>
      <c r="O41" s="35"/>
      <c r="P41" s="35">
        <v>0</v>
      </c>
      <c r="Q41" s="35">
        <v>0</v>
      </c>
      <c r="R41" s="34">
        <v>0</v>
      </c>
      <c r="S41" s="35">
        <v>0</v>
      </c>
      <c r="T41" s="35">
        <v>0</v>
      </c>
      <c r="U41" s="35">
        <v>0</v>
      </c>
      <c r="V41" s="34">
        <v>0</v>
      </c>
      <c r="W41" s="35">
        <v>0</v>
      </c>
      <c r="X41" s="35">
        <v>0</v>
      </c>
      <c r="Y41" s="35">
        <v>0</v>
      </c>
      <c r="Z41" s="35"/>
      <c r="AA41" s="35"/>
      <c r="AB41" s="35">
        <v>0</v>
      </c>
      <c r="AC41" s="35">
        <v>0</v>
      </c>
      <c r="AD41" s="35">
        <v>0</v>
      </c>
      <c r="AE41" s="35">
        <v>0</v>
      </c>
      <c r="AF41" s="35"/>
      <c r="AG41" s="35"/>
      <c r="AH41" s="35"/>
      <c r="AI41" s="35"/>
      <c r="AJ41" s="35">
        <v>109.95</v>
      </c>
      <c r="AK41" s="35">
        <v>124548</v>
      </c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>
        <v>0</v>
      </c>
      <c r="BC41" s="35">
        <v>0</v>
      </c>
      <c r="BD41" s="36"/>
      <c r="BE41" s="37"/>
      <c r="BF41" s="37"/>
      <c r="BG41" s="13">
        <f t="shared" si="0"/>
        <v>1000001</v>
      </c>
      <c r="BH41" s="38"/>
      <c r="BI41" s="38"/>
      <c r="BJ41" s="33"/>
      <c r="BK41" s="33"/>
      <c r="BL41" s="33"/>
      <c r="BM41" s="13"/>
      <c r="BN41" s="33">
        <v>83300</v>
      </c>
      <c r="BO41" s="33">
        <v>10000</v>
      </c>
      <c r="BP41" s="33">
        <v>83300</v>
      </c>
      <c r="BQ41" s="33"/>
      <c r="BR41" s="33">
        <v>37995</v>
      </c>
      <c r="BS41" s="13">
        <f t="shared" si="9"/>
        <v>214595</v>
      </c>
      <c r="BT41" s="33">
        <v>105054</v>
      </c>
      <c r="BU41" s="33">
        <v>4570</v>
      </c>
      <c r="BV41" s="33">
        <v>35018</v>
      </c>
      <c r="BW41" s="33"/>
      <c r="BX41" s="13">
        <f t="shared" si="14"/>
        <v>144642</v>
      </c>
      <c r="BY41" s="39">
        <v>0</v>
      </c>
      <c r="BZ41" s="39">
        <v>0</v>
      </c>
      <c r="CA41" s="33"/>
      <c r="CB41" s="33"/>
      <c r="CC41" s="33"/>
      <c r="CD41" s="33"/>
      <c r="CE41" s="33"/>
      <c r="CF41" s="33"/>
      <c r="CG41" s="33"/>
      <c r="CH41" s="40"/>
      <c r="CI41" s="33"/>
      <c r="CJ41" s="14">
        <v>88351</v>
      </c>
      <c r="CK41" s="33">
        <v>27504.190999999999</v>
      </c>
      <c r="CL41" s="33">
        <v>1447589</v>
      </c>
      <c r="CM41" s="33">
        <f t="shared" si="22"/>
        <v>1359238</v>
      </c>
      <c r="CN41" s="33">
        <v>27504.190999999999</v>
      </c>
      <c r="CO41" s="31"/>
      <c r="CP41" s="31"/>
      <c r="CQ41" s="31"/>
      <c r="CR41" s="31"/>
      <c r="CS41" s="31"/>
      <c r="CT41" s="31"/>
      <c r="CU41" s="59">
        <f t="shared" si="21"/>
        <v>1475093.1910000001</v>
      </c>
    </row>
    <row r="42" spans="1:99" s="16" customFormat="1" ht="15.75" x14ac:dyDescent="0.2">
      <c r="A42" s="57" t="s">
        <v>188</v>
      </c>
      <c r="B42" s="42">
        <v>1144182050</v>
      </c>
      <c r="C42" s="33" t="s">
        <v>143</v>
      </c>
      <c r="D42" s="43"/>
      <c r="E42" s="43" t="s">
        <v>58</v>
      </c>
      <c r="F42" s="41" t="s">
        <v>209</v>
      </c>
      <c r="G42" s="41"/>
      <c r="H42" s="44">
        <v>0.52</v>
      </c>
      <c r="I42" s="51">
        <v>109.95</v>
      </c>
      <c r="J42" s="35">
        <v>1050000</v>
      </c>
      <c r="K42" s="34"/>
      <c r="L42" s="35"/>
      <c r="M42" s="35"/>
      <c r="N42" s="35"/>
      <c r="O42" s="35"/>
      <c r="P42" s="35">
        <v>0</v>
      </c>
      <c r="Q42" s="35">
        <v>0</v>
      </c>
      <c r="R42" s="34">
        <v>0</v>
      </c>
      <c r="S42" s="35">
        <v>0</v>
      </c>
      <c r="T42" s="35">
        <v>0</v>
      </c>
      <c r="U42" s="35">
        <v>0</v>
      </c>
      <c r="V42" s="34">
        <v>0</v>
      </c>
      <c r="W42" s="35">
        <v>0</v>
      </c>
      <c r="X42" s="35">
        <v>0</v>
      </c>
      <c r="Y42" s="35">
        <v>0</v>
      </c>
      <c r="Z42" s="35"/>
      <c r="AA42" s="35"/>
      <c r="AB42" s="35">
        <v>0</v>
      </c>
      <c r="AC42" s="35">
        <v>0</v>
      </c>
      <c r="AD42" s="35">
        <v>0</v>
      </c>
      <c r="AE42" s="35">
        <v>0</v>
      </c>
      <c r="AF42" s="35"/>
      <c r="AG42" s="35"/>
      <c r="AH42" s="35"/>
      <c r="AI42" s="35"/>
      <c r="AJ42" s="35">
        <v>109.95</v>
      </c>
      <c r="AK42" s="35">
        <v>124548</v>
      </c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>
        <v>0</v>
      </c>
      <c r="BC42" s="35">
        <v>0</v>
      </c>
      <c r="BD42" s="36"/>
      <c r="BE42" s="37"/>
      <c r="BF42" s="37"/>
      <c r="BG42" s="13">
        <f t="shared" si="0"/>
        <v>1174548</v>
      </c>
      <c r="BH42" s="38"/>
      <c r="BI42" s="38"/>
      <c r="BJ42" s="33"/>
      <c r="BK42" s="33"/>
      <c r="BL42" s="33"/>
      <c r="BM42" s="13"/>
      <c r="BN42" s="33">
        <v>97840</v>
      </c>
      <c r="BO42" s="33">
        <v>11745</v>
      </c>
      <c r="BP42" s="33">
        <v>97840</v>
      </c>
      <c r="BQ42" s="33"/>
      <c r="BR42" s="33">
        <v>45570</v>
      </c>
      <c r="BS42" s="13">
        <f t="shared" si="9"/>
        <v>252995</v>
      </c>
      <c r="BT42" s="33">
        <v>126000</v>
      </c>
      <c r="BU42" s="33">
        <v>5481</v>
      </c>
      <c r="BV42" s="33">
        <v>42000</v>
      </c>
      <c r="BW42" s="33"/>
      <c r="BX42" s="13">
        <f t="shared" si="14"/>
        <v>173481</v>
      </c>
      <c r="BY42" s="39">
        <v>50453</v>
      </c>
      <c r="BZ42" s="39">
        <v>0</v>
      </c>
      <c r="CA42" s="33"/>
      <c r="CB42" s="33"/>
      <c r="CC42" s="33"/>
      <c r="CD42" s="33"/>
      <c r="CE42" s="33"/>
      <c r="CF42" s="33"/>
      <c r="CG42" s="33"/>
      <c r="CH42" s="40"/>
      <c r="CI42" s="33"/>
      <c r="CJ42" s="14">
        <v>107346</v>
      </c>
      <c r="CK42" s="33">
        <v>33417.637000000002</v>
      </c>
      <c r="CL42" s="33">
        <v>1758823</v>
      </c>
      <c r="CM42" s="33">
        <f t="shared" si="22"/>
        <v>1651477</v>
      </c>
      <c r="CN42" s="33">
        <v>33417.637000000002</v>
      </c>
      <c r="CO42" s="31"/>
      <c r="CP42" s="31"/>
      <c r="CQ42" s="31"/>
      <c r="CR42" s="31"/>
      <c r="CS42" s="31"/>
      <c r="CT42" s="31"/>
      <c r="CU42" s="59">
        <f t="shared" si="21"/>
        <v>1792240.6370000001</v>
      </c>
    </row>
    <row r="43" spans="1:99" s="16" customFormat="1" ht="15.75" x14ac:dyDescent="0.2">
      <c r="A43" s="57" t="s">
        <v>188</v>
      </c>
      <c r="B43" s="42">
        <v>33334496</v>
      </c>
      <c r="C43" s="33" t="s">
        <v>144</v>
      </c>
      <c r="D43" s="43"/>
      <c r="E43" s="43" t="s">
        <v>58</v>
      </c>
      <c r="F43" s="41" t="s">
        <v>191</v>
      </c>
      <c r="G43" s="41"/>
      <c r="H43" s="44">
        <v>0.52</v>
      </c>
      <c r="I43" s="51">
        <v>73.3</v>
      </c>
      <c r="J43" s="35">
        <v>1000000</v>
      </c>
      <c r="K43" s="34"/>
      <c r="L43" s="35"/>
      <c r="M43" s="35"/>
      <c r="N43" s="35"/>
      <c r="O43" s="35"/>
      <c r="P43" s="35">
        <v>0</v>
      </c>
      <c r="Q43" s="35">
        <v>0</v>
      </c>
      <c r="R43" s="34">
        <v>0</v>
      </c>
      <c r="S43" s="35">
        <v>0</v>
      </c>
      <c r="T43" s="35">
        <v>0</v>
      </c>
      <c r="U43" s="35">
        <v>0</v>
      </c>
      <c r="V43" s="34">
        <v>0</v>
      </c>
      <c r="W43" s="35">
        <v>0</v>
      </c>
      <c r="X43" s="35">
        <v>0</v>
      </c>
      <c r="Y43" s="35">
        <v>0</v>
      </c>
      <c r="Z43" s="35"/>
      <c r="AA43" s="35"/>
      <c r="AB43" s="35">
        <v>0</v>
      </c>
      <c r="AC43" s="35">
        <v>0</v>
      </c>
      <c r="AD43" s="35">
        <v>0</v>
      </c>
      <c r="AE43" s="35">
        <v>0</v>
      </c>
      <c r="AF43" s="35"/>
      <c r="AG43" s="35"/>
      <c r="AH43" s="35"/>
      <c r="AI43" s="35"/>
      <c r="AJ43" s="35">
        <v>73.3</v>
      </c>
      <c r="AK43" s="35">
        <v>83032</v>
      </c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>
        <v>0</v>
      </c>
      <c r="BC43" s="35">
        <v>0</v>
      </c>
      <c r="BD43" s="36"/>
      <c r="BE43" s="37"/>
      <c r="BF43" s="37"/>
      <c r="BG43" s="13">
        <f t="shared" si="0"/>
        <v>1083032</v>
      </c>
      <c r="BH43" s="38"/>
      <c r="BI43" s="38"/>
      <c r="BJ43" s="33"/>
      <c r="BK43" s="33"/>
      <c r="BL43" s="33"/>
      <c r="BM43" s="13"/>
      <c r="BN43" s="33">
        <v>90217</v>
      </c>
      <c r="BO43" s="33">
        <v>10830</v>
      </c>
      <c r="BP43" s="33">
        <v>90217</v>
      </c>
      <c r="BQ43" s="33"/>
      <c r="BR43" s="33">
        <v>43400</v>
      </c>
      <c r="BS43" s="13">
        <f t="shared" si="9"/>
        <v>234664</v>
      </c>
      <c r="BT43" s="33">
        <v>120000</v>
      </c>
      <c r="BU43" s="33">
        <v>5220</v>
      </c>
      <c r="BV43" s="33">
        <v>40000</v>
      </c>
      <c r="BW43" s="33"/>
      <c r="BX43" s="13">
        <f t="shared" si="14"/>
        <v>165220</v>
      </c>
      <c r="BY43" s="39">
        <v>83635</v>
      </c>
      <c r="BZ43" s="39">
        <v>0</v>
      </c>
      <c r="CA43" s="33"/>
      <c r="CB43" s="33"/>
      <c r="CC43" s="33"/>
      <c r="CD43" s="33"/>
      <c r="CE43" s="33"/>
      <c r="CF43" s="33"/>
      <c r="CG43" s="33"/>
      <c r="CH43" s="40"/>
      <c r="CI43" s="33"/>
      <c r="CJ43" s="14">
        <v>101825</v>
      </c>
      <c r="CK43" s="33">
        <v>31699.144</v>
      </c>
      <c r="CL43" s="33">
        <v>1668376</v>
      </c>
      <c r="CM43" s="33">
        <f t="shared" si="22"/>
        <v>1566551</v>
      </c>
      <c r="CN43" s="33">
        <v>31699.144</v>
      </c>
      <c r="CO43" s="31"/>
      <c r="CP43" s="31"/>
      <c r="CQ43" s="31"/>
      <c r="CR43" s="31"/>
      <c r="CS43" s="31"/>
      <c r="CT43" s="31"/>
      <c r="CU43" s="59">
        <f t="shared" si="21"/>
        <v>1700075.1440000001</v>
      </c>
    </row>
    <row r="44" spans="1:99" s="16" customFormat="1" ht="15.75" x14ac:dyDescent="0.2">
      <c r="A44" s="57" t="s">
        <v>188</v>
      </c>
      <c r="B44" s="42">
        <v>1005785530</v>
      </c>
      <c r="C44" s="33" t="s">
        <v>145</v>
      </c>
      <c r="D44" s="43"/>
      <c r="E44" s="43" t="s">
        <v>58</v>
      </c>
      <c r="F44" s="41" t="s">
        <v>210</v>
      </c>
      <c r="G44" s="41"/>
      <c r="H44" s="44">
        <v>0.52</v>
      </c>
      <c r="I44" s="51">
        <v>107.45780000000001</v>
      </c>
      <c r="J44" s="35">
        <v>116727</v>
      </c>
      <c r="K44" s="34"/>
      <c r="L44" s="35"/>
      <c r="M44" s="35"/>
      <c r="N44" s="35"/>
      <c r="O44" s="35"/>
      <c r="P44" s="35">
        <v>0</v>
      </c>
      <c r="Q44" s="35">
        <v>0</v>
      </c>
      <c r="R44" s="34">
        <v>0</v>
      </c>
      <c r="S44" s="35">
        <v>0</v>
      </c>
      <c r="T44" s="35">
        <v>0</v>
      </c>
      <c r="U44" s="35">
        <v>0</v>
      </c>
      <c r="V44" s="34">
        <v>0</v>
      </c>
      <c r="W44" s="35">
        <v>0</v>
      </c>
      <c r="X44" s="35">
        <v>0</v>
      </c>
      <c r="Y44" s="35">
        <v>0</v>
      </c>
      <c r="Z44" s="35"/>
      <c r="AA44" s="35"/>
      <c r="AB44" s="35">
        <v>0</v>
      </c>
      <c r="AC44" s="35">
        <v>0</v>
      </c>
      <c r="AD44" s="35">
        <v>0</v>
      </c>
      <c r="AE44" s="35">
        <v>0</v>
      </c>
      <c r="AF44" s="35"/>
      <c r="AG44" s="35"/>
      <c r="AH44" s="35"/>
      <c r="AI44" s="35"/>
      <c r="AJ44" s="35">
        <v>107.45780000000001</v>
      </c>
      <c r="AK44" s="35">
        <v>16606</v>
      </c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>
        <v>0</v>
      </c>
      <c r="BC44" s="35">
        <v>0</v>
      </c>
      <c r="BD44" s="36"/>
      <c r="BE44" s="37"/>
      <c r="BF44" s="37"/>
      <c r="BG44" s="13">
        <f t="shared" si="0"/>
        <v>133333</v>
      </c>
      <c r="BH44" s="38"/>
      <c r="BI44" s="38"/>
      <c r="BJ44" s="33"/>
      <c r="BK44" s="33"/>
      <c r="BL44" s="33"/>
      <c r="BM44" s="13"/>
      <c r="BN44" s="33">
        <v>11106</v>
      </c>
      <c r="BO44" s="33">
        <v>1333</v>
      </c>
      <c r="BP44" s="33">
        <v>11106</v>
      </c>
      <c r="BQ44" s="33"/>
      <c r="BR44" s="33">
        <v>5066</v>
      </c>
      <c r="BS44" s="13">
        <f t="shared" si="9"/>
        <v>28611</v>
      </c>
      <c r="BT44" s="33">
        <v>14007</v>
      </c>
      <c r="BU44" s="33">
        <v>609</v>
      </c>
      <c r="BV44" s="33">
        <v>4669</v>
      </c>
      <c r="BW44" s="33"/>
      <c r="BX44" s="13">
        <f t="shared" si="14"/>
        <v>19285</v>
      </c>
      <c r="BY44" s="39">
        <v>6666</v>
      </c>
      <c r="BZ44" s="39">
        <v>0</v>
      </c>
      <c r="CA44" s="33"/>
      <c r="CB44" s="33"/>
      <c r="CC44" s="33"/>
      <c r="CD44" s="33"/>
      <c r="CE44" s="33"/>
      <c r="CF44" s="33"/>
      <c r="CG44" s="33"/>
      <c r="CH44" s="40"/>
      <c r="CI44" s="33"/>
      <c r="CJ44" s="14">
        <v>12213</v>
      </c>
      <c r="CK44" s="33">
        <v>3802.0519999999997</v>
      </c>
      <c r="CL44" s="33">
        <v>200108</v>
      </c>
      <c r="CM44" s="33">
        <f t="shared" si="22"/>
        <v>187895</v>
      </c>
      <c r="CN44" s="33">
        <v>3802.0519999999997</v>
      </c>
      <c r="CO44" s="31"/>
      <c r="CP44" s="31"/>
      <c r="CQ44" s="31"/>
      <c r="CR44" s="31"/>
      <c r="CS44" s="31"/>
      <c r="CT44" s="31"/>
      <c r="CU44" s="59">
        <f t="shared" si="21"/>
        <v>203910.052</v>
      </c>
    </row>
    <row r="45" spans="1:99" s="16" customFormat="1" ht="15.75" x14ac:dyDescent="0.2">
      <c r="A45" s="57" t="s">
        <v>188</v>
      </c>
      <c r="B45" s="42">
        <v>1151953657</v>
      </c>
      <c r="C45" s="33" t="s">
        <v>146</v>
      </c>
      <c r="D45" s="43"/>
      <c r="E45" s="43" t="s">
        <v>58</v>
      </c>
      <c r="F45" s="41" t="s">
        <v>211</v>
      </c>
      <c r="G45" s="41"/>
      <c r="H45" s="44">
        <v>6.96</v>
      </c>
      <c r="I45" s="51">
        <v>109.95</v>
      </c>
      <c r="J45" s="35">
        <v>1250000</v>
      </c>
      <c r="K45" s="34"/>
      <c r="L45" s="35"/>
      <c r="M45" s="35"/>
      <c r="N45" s="35"/>
      <c r="O45" s="35"/>
      <c r="P45" s="35">
        <v>0</v>
      </c>
      <c r="Q45" s="35">
        <v>0</v>
      </c>
      <c r="R45" s="34">
        <v>0</v>
      </c>
      <c r="S45" s="35">
        <v>0</v>
      </c>
      <c r="T45" s="35">
        <v>0</v>
      </c>
      <c r="U45" s="35">
        <v>0</v>
      </c>
      <c r="V45" s="34">
        <v>0</v>
      </c>
      <c r="W45" s="35">
        <v>0</v>
      </c>
      <c r="X45" s="35">
        <v>0</v>
      </c>
      <c r="Y45" s="35">
        <v>0</v>
      </c>
      <c r="Z45" s="35"/>
      <c r="AA45" s="35"/>
      <c r="AB45" s="35">
        <v>0</v>
      </c>
      <c r="AC45" s="35">
        <v>0</v>
      </c>
      <c r="AD45" s="35">
        <v>0</v>
      </c>
      <c r="AE45" s="35">
        <v>0</v>
      </c>
      <c r="AF45" s="35"/>
      <c r="AG45" s="35"/>
      <c r="AH45" s="35"/>
      <c r="AI45" s="35"/>
      <c r="AJ45" s="35">
        <v>109.95</v>
      </c>
      <c r="AK45" s="35">
        <v>124548</v>
      </c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>
        <v>0</v>
      </c>
      <c r="BC45" s="35">
        <v>0</v>
      </c>
      <c r="BD45" s="36"/>
      <c r="BE45" s="37"/>
      <c r="BF45" s="37"/>
      <c r="BG45" s="13">
        <f t="shared" si="0"/>
        <v>1374548</v>
      </c>
      <c r="BH45" s="38"/>
      <c r="BI45" s="38"/>
      <c r="BJ45" s="33"/>
      <c r="BK45" s="33"/>
      <c r="BL45" s="33"/>
      <c r="BM45" s="13"/>
      <c r="BN45" s="33">
        <v>114500</v>
      </c>
      <c r="BO45" s="33">
        <v>13745</v>
      </c>
      <c r="BP45" s="33">
        <v>114500</v>
      </c>
      <c r="BQ45" s="33"/>
      <c r="BR45" s="33">
        <v>54250</v>
      </c>
      <c r="BS45" s="13">
        <f t="shared" si="9"/>
        <v>296995</v>
      </c>
      <c r="BT45" s="33">
        <v>150000</v>
      </c>
      <c r="BU45" s="33">
        <v>87000</v>
      </c>
      <c r="BV45" s="33">
        <v>50000</v>
      </c>
      <c r="BW45" s="33"/>
      <c r="BX45" s="13">
        <f t="shared" si="14"/>
        <v>287000</v>
      </c>
      <c r="BY45" s="39">
        <v>50000</v>
      </c>
      <c r="BZ45" s="39">
        <v>0</v>
      </c>
      <c r="CA45" s="33"/>
      <c r="CB45" s="33"/>
      <c r="CC45" s="33"/>
      <c r="CD45" s="33"/>
      <c r="CE45" s="33"/>
      <c r="CF45" s="33"/>
      <c r="CG45" s="33"/>
      <c r="CH45" s="40"/>
      <c r="CI45" s="33"/>
      <c r="CJ45" s="14">
        <v>130556</v>
      </c>
      <c r="CK45" s="33">
        <v>40642.881000000001</v>
      </c>
      <c r="CL45" s="33">
        <v>2139099</v>
      </c>
      <c r="CM45" s="33">
        <f t="shared" si="22"/>
        <v>2008543</v>
      </c>
      <c r="CN45" s="33">
        <v>40642.881000000001</v>
      </c>
      <c r="CO45" s="31"/>
      <c r="CP45" s="31"/>
      <c r="CQ45" s="31"/>
      <c r="CR45" s="31"/>
      <c r="CS45" s="31"/>
      <c r="CT45" s="31"/>
      <c r="CU45" s="59">
        <f t="shared" si="21"/>
        <v>2179741.8810000001</v>
      </c>
    </row>
    <row r="46" spans="1:99" s="16" customFormat="1" ht="15.75" x14ac:dyDescent="0.2">
      <c r="A46" s="57" t="s">
        <v>188</v>
      </c>
      <c r="B46" s="42">
        <v>1192719817</v>
      </c>
      <c r="C46" s="33" t="s">
        <v>147</v>
      </c>
      <c r="D46" s="43"/>
      <c r="E46" s="43" t="s">
        <v>58</v>
      </c>
      <c r="F46" s="41" t="s">
        <v>212</v>
      </c>
      <c r="G46" s="41"/>
      <c r="H46" s="44">
        <v>6.96</v>
      </c>
      <c r="I46" s="51">
        <v>109.95</v>
      </c>
      <c r="J46" s="35">
        <v>875453</v>
      </c>
      <c r="K46" s="34"/>
      <c r="L46" s="35"/>
      <c r="M46" s="35"/>
      <c r="N46" s="35"/>
      <c r="O46" s="35"/>
      <c r="P46" s="35">
        <v>0</v>
      </c>
      <c r="Q46" s="35">
        <v>0</v>
      </c>
      <c r="R46" s="34">
        <v>0</v>
      </c>
      <c r="S46" s="35">
        <v>0</v>
      </c>
      <c r="T46" s="35">
        <v>0</v>
      </c>
      <c r="U46" s="35">
        <v>0</v>
      </c>
      <c r="V46" s="34">
        <v>0</v>
      </c>
      <c r="W46" s="35">
        <v>0</v>
      </c>
      <c r="X46" s="35">
        <v>0</v>
      </c>
      <c r="Y46" s="35">
        <v>0</v>
      </c>
      <c r="Z46" s="35"/>
      <c r="AA46" s="35"/>
      <c r="AB46" s="35">
        <v>0</v>
      </c>
      <c r="AC46" s="35">
        <v>0</v>
      </c>
      <c r="AD46" s="35">
        <v>0</v>
      </c>
      <c r="AE46" s="35">
        <v>0</v>
      </c>
      <c r="AF46" s="35"/>
      <c r="AG46" s="35"/>
      <c r="AH46" s="35"/>
      <c r="AI46" s="35"/>
      <c r="AJ46" s="35">
        <v>109.95</v>
      </c>
      <c r="AK46" s="35">
        <v>124548</v>
      </c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>
        <v>0</v>
      </c>
      <c r="BC46" s="35">
        <v>0</v>
      </c>
      <c r="BD46" s="36"/>
      <c r="BE46" s="37"/>
      <c r="BF46" s="37"/>
      <c r="BG46" s="13">
        <f t="shared" si="0"/>
        <v>1000001</v>
      </c>
      <c r="BH46" s="38"/>
      <c r="BI46" s="38"/>
      <c r="BJ46" s="33"/>
      <c r="BK46" s="33"/>
      <c r="BL46" s="33"/>
      <c r="BM46" s="13"/>
      <c r="BN46" s="33">
        <v>83300</v>
      </c>
      <c r="BO46" s="33">
        <v>10000</v>
      </c>
      <c r="BP46" s="33">
        <v>83300</v>
      </c>
      <c r="BQ46" s="33"/>
      <c r="BR46" s="33">
        <v>37995</v>
      </c>
      <c r="BS46" s="13">
        <f t="shared" si="9"/>
        <v>214595</v>
      </c>
      <c r="BT46" s="33">
        <v>105054</v>
      </c>
      <c r="BU46" s="33">
        <v>60932</v>
      </c>
      <c r="BV46" s="33">
        <v>35018</v>
      </c>
      <c r="BW46" s="33"/>
      <c r="BX46" s="13">
        <f t="shared" si="14"/>
        <v>201004</v>
      </c>
      <c r="BY46" s="39">
        <v>0</v>
      </c>
      <c r="BZ46" s="39">
        <v>0</v>
      </c>
      <c r="CA46" s="33"/>
      <c r="CB46" s="33"/>
      <c r="CC46" s="33"/>
      <c r="CD46" s="33"/>
      <c r="CE46" s="33"/>
      <c r="CF46" s="33"/>
      <c r="CG46" s="33"/>
      <c r="CH46" s="40"/>
      <c r="CI46" s="33"/>
      <c r="CJ46" s="14">
        <v>92014</v>
      </c>
      <c r="CK46" s="33">
        <v>28644.666000000001</v>
      </c>
      <c r="CL46" s="33">
        <v>1507614</v>
      </c>
      <c r="CM46" s="33">
        <f t="shared" si="22"/>
        <v>1415600</v>
      </c>
      <c r="CN46" s="33">
        <v>28644.666000000001</v>
      </c>
      <c r="CO46" s="31"/>
      <c r="CP46" s="31"/>
      <c r="CQ46" s="31"/>
      <c r="CR46" s="31"/>
      <c r="CS46" s="31"/>
      <c r="CT46" s="31"/>
      <c r="CU46" s="59">
        <f t="shared" si="21"/>
        <v>1536258.666</v>
      </c>
    </row>
    <row r="47" spans="1:99" s="16" customFormat="1" ht="15.75" x14ac:dyDescent="0.2">
      <c r="A47" s="57" t="s">
        <v>188</v>
      </c>
      <c r="B47" s="42">
        <v>1006167272</v>
      </c>
      <c r="C47" s="33" t="s">
        <v>148</v>
      </c>
      <c r="D47" s="43"/>
      <c r="E47" s="43" t="s">
        <v>58</v>
      </c>
      <c r="F47" s="41" t="s">
        <v>195</v>
      </c>
      <c r="G47" s="41"/>
      <c r="H47" s="44">
        <v>0.52</v>
      </c>
      <c r="I47" s="51">
        <v>109.95</v>
      </c>
      <c r="J47" s="35">
        <v>1400000</v>
      </c>
      <c r="K47" s="34"/>
      <c r="L47" s="35"/>
      <c r="M47" s="35"/>
      <c r="N47" s="35"/>
      <c r="O47" s="35"/>
      <c r="P47" s="35">
        <v>0</v>
      </c>
      <c r="Q47" s="35">
        <v>0</v>
      </c>
      <c r="R47" s="34">
        <v>0</v>
      </c>
      <c r="S47" s="35">
        <v>0</v>
      </c>
      <c r="T47" s="35">
        <v>0</v>
      </c>
      <c r="U47" s="35">
        <v>0</v>
      </c>
      <c r="V47" s="34">
        <v>0</v>
      </c>
      <c r="W47" s="35">
        <v>0</v>
      </c>
      <c r="X47" s="35">
        <v>0</v>
      </c>
      <c r="Y47" s="35">
        <v>0</v>
      </c>
      <c r="Z47" s="35"/>
      <c r="AA47" s="35"/>
      <c r="AB47" s="35">
        <v>0</v>
      </c>
      <c r="AC47" s="35">
        <v>0</v>
      </c>
      <c r="AD47" s="35">
        <v>0</v>
      </c>
      <c r="AE47" s="35">
        <v>0</v>
      </c>
      <c r="AF47" s="35"/>
      <c r="AG47" s="35"/>
      <c r="AH47" s="35"/>
      <c r="AI47" s="35"/>
      <c r="AJ47" s="35">
        <v>109.95</v>
      </c>
      <c r="AK47" s="35">
        <v>124548</v>
      </c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>
        <v>0</v>
      </c>
      <c r="BC47" s="35">
        <v>0</v>
      </c>
      <c r="BD47" s="36"/>
      <c r="BE47" s="37"/>
      <c r="BF47" s="37"/>
      <c r="BG47" s="13">
        <f t="shared" si="0"/>
        <v>1524548</v>
      </c>
      <c r="BH47" s="38"/>
      <c r="BI47" s="38"/>
      <c r="BJ47" s="33"/>
      <c r="BK47" s="33"/>
      <c r="BL47" s="33"/>
      <c r="BM47" s="13"/>
      <c r="BN47" s="33">
        <v>126995</v>
      </c>
      <c r="BO47" s="33">
        <v>15245</v>
      </c>
      <c r="BP47" s="33">
        <v>126995</v>
      </c>
      <c r="BQ47" s="33"/>
      <c r="BR47" s="33">
        <v>60760</v>
      </c>
      <c r="BS47" s="13">
        <f t="shared" si="9"/>
        <v>329995</v>
      </c>
      <c r="BT47" s="33">
        <v>168000</v>
      </c>
      <c r="BU47" s="33">
        <v>7308</v>
      </c>
      <c r="BV47" s="33">
        <v>56000</v>
      </c>
      <c r="BW47" s="33"/>
      <c r="BX47" s="13">
        <f t="shared" si="14"/>
        <v>231308</v>
      </c>
      <c r="BY47" s="39">
        <v>0</v>
      </c>
      <c r="BZ47" s="39">
        <v>0</v>
      </c>
      <c r="CA47" s="33"/>
      <c r="CB47" s="33"/>
      <c r="CC47" s="33"/>
      <c r="CD47" s="33"/>
      <c r="CE47" s="33"/>
      <c r="CF47" s="33"/>
      <c r="CG47" s="33"/>
      <c r="CH47" s="40"/>
      <c r="CI47" s="33"/>
      <c r="CJ47" s="14">
        <v>135581</v>
      </c>
      <c r="CK47" s="33">
        <v>42207.207999999999</v>
      </c>
      <c r="CL47" s="33">
        <v>2221432</v>
      </c>
      <c r="CM47" s="33">
        <f t="shared" si="22"/>
        <v>2085851</v>
      </c>
      <c r="CN47" s="33">
        <v>42207.207999999999</v>
      </c>
      <c r="CO47" s="31"/>
      <c r="CP47" s="31"/>
      <c r="CQ47" s="31"/>
      <c r="CR47" s="31"/>
      <c r="CS47" s="31"/>
      <c r="CT47" s="31"/>
      <c r="CU47" s="59">
        <f t="shared" si="21"/>
        <v>2263639.2080000001</v>
      </c>
    </row>
    <row r="48" spans="1:99" s="16" customFormat="1" ht="15.75" x14ac:dyDescent="0.2">
      <c r="A48" s="57" t="s">
        <v>188</v>
      </c>
      <c r="B48" s="42">
        <v>94384162</v>
      </c>
      <c r="C48" s="33" t="s">
        <v>149</v>
      </c>
      <c r="D48" s="43"/>
      <c r="E48" s="43" t="s">
        <v>58</v>
      </c>
      <c r="F48" s="41" t="s">
        <v>190</v>
      </c>
      <c r="G48" s="41"/>
      <c r="H48" s="44">
        <v>2.44</v>
      </c>
      <c r="I48" s="51">
        <v>109.95</v>
      </c>
      <c r="J48" s="35">
        <v>875453</v>
      </c>
      <c r="K48" s="34"/>
      <c r="L48" s="35"/>
      <c r="M48" s="35"/>
      <c r="N48" s="35"/>
      <c r="O48" s="35"/>
      <c r="P48" s="35">
        <v>0</v>
      </c>
      <c r="Q48" s="35">
        <v>0</v>
      </c>
      <c r="R48" s="34">
        <v>14</v>
      </c>
      <c r="S48" s="35">
        <v>139277</v>
      </c>
      <c r="T48" s="35">
        <v>0</v>
      </c>
      <c r="U48" s="35">
        <v>0</v>
      </c>
      <c r="V48" s="34">
        <v>0</v>
      </c>
      <c r="W48" s="35">
        <v>0</v>
      </c>
      <c r="X48" s="35">
        <v>0</v>
      </c>
      <c r="Y48" s="35">
        <v>0</v>
      </c>
      <c r="Z48" s="35"/>
      <c r="AA48" s="35"/>
      <c r="AB48" s="35">
        <v>0</v>
      </c>
      <c r="AC48" s="35">
        <v>0</v>
      </c>
      <c r="AD48" s="35">
        <v>0</v>
      </c>
      <c r="AE48" s="35">
        <v>0</v>
      </c>
      <c r="AF48" s="35"/>
      <c r="AG48" s="35"/>
      <c r="AH48" s="35"/>
      <c r="AI48" s="35"/>
      <c r="AJ48" s="35">
        <v>109.95</v>
      </c>
      <c r="AK48" s="35">
        <v>124548</v>
      </c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>
        <v>0</v>
      </c>
      <c r="BC48" s="35">
        <v>0</v>
      </c>
      <c r="BD48" s="36"/>
      <c r="BE48" s="37"/>
      <c r="BF48" s="37"/>
      <c r="BG48" s="13">
        <f t="shared" si="0"/>
        <v>1139278</v>
      </c>
      <c r="BH48" s="38"/>
      <c r="BI48" s="38"/>
      <c r="BJ48" s="33"/>
      <c r="BK48" s="33"/>
      <c r="BL48" s="33"/>
      <c r="BM48" s="13"/>
      <c r="BN48" s="33">
        <v>94902</v>
      </c>
      <c r="BO48" s="33">
        <v>11393</v>
      </c>
      <c r="BP48" s="33">
        <v>94902</v>
      </c>
      <c r="BQ48" s="33"/>
      <c r="BR48" s="33">
        <v>37995</v>
      </c>
      <c r="BS48" s="13">
        <f t="shared" si="9"/>
        <v>239192</v>
      </c>
      <c r="BT48" s="33">
        <v>121767</v>
      </c>
      <c r="BU48" s="33">
        <v>24719</v>
      </c>
      <c r="BV48" s="33">
        <v>40589</v>
      </c>
      <c r="BW48" s="33"/>
      <c r="BX48" s="13">
        <f t="shared" si="14"/>
        <v>187075</v>
      </c>
      <c r="BY48" s="39">
        <v>100000</v>
      </c>
      <c r="BZ48" s="39">
        <v>0</v>
      </c>
      <c r="CA48" s="33"/>
      <c r="CB48" s="33"/>
      <c r="CC48" s="33"/>
      <c r="CD48" s="33"/>
      <c r="CE48" s="33"/>
      <c r="CF48" s="33"/>
      <c r="CG48" s="33"/>
      <c r="CH48" s="40"/>
      <c r="CI48" s="33"/>
      <c r="CJ48" s="14">
        <v>108261</v>
      </c>
      <c r="CK48" s="33">
        <v>33702.313999999998</v>
      </c>
      <c r="CL48" s="33">
        <v>1773806</v>
      </c>
      <c r="CM48" s="33">
        <f t="shared" si="22"/>
        <v>1665545</v>
      </c>
      <c r="CN48" s="33">
        <v>33702.313999999998</v>
      </c>
      <c r="CO48" s="31"/>
      <c r="CP48" s="31"/>
      <c r="CQ48" s="31"/>
      <c r="CR48" s="31"/>
      <c r="CS48" s="31"/>
      <c r="CT48" s="31"/>
      <c r="CU48" s="59">
        <f t="shared" si="21"/>
        <v>1807508.314</v>
      </c>
    </row>
    <row r="49" spans="1:99" s="16" customFormat="1" ht="15.75" x14ac:dyDescent="0.2">
      <c r="A49" s="57" t="s">
        <v>188</v>
      </c>
      <c r="B49" s="42">
        <v>1114900682</v>
      </c>
      <c r="C49" s="33" t="s">
        <v>150</v>
      </c>
      <c r="D49" s="43"/>
      <c r="E49" s="43" t="s">
        <v>58</v>
      </c>
      <c r="F49" s="41" t="s">
        <v>213</v>
      </c>
      <c r="G49" s="41"/>
      <c r="H49" s="44">
        <v>2.44</v>
      </c>
      <c r="I49" s="51">
        <v>109.95</v>
      </c>
      <c r="J49" s="35">
        <v>1000000</v>
      </c>
      <c r="K49" s="34"/>
      <c r="L49" s="35"/>
      <c r="M49" s="35"/>
      <c r="N49" s="35"/>
      <c r="O49" s="35"/>
      <c r="P49" s="35">
        <v>0</v>
      </c>
      <c r="Q49" s="35">
        <v>0</v>
      </c>
      <c r="R49" s="34">
        <v>0</v>
      </c>
      <c r="S49" s="35">
        <v>0</v>
      </c>
      <c r="T49" s="35">
        <v>0</v>
      </c>
      <c r="U49" s="35">
        <v>0</v>
      </c>
      <c r="V49" s="34">
        <v>0</v>
      </c>
      <c r="W49" s="35">
        <v>0</v>
      </c>
      <c r="X49" s="35">
        <v>0</v>
      </c>
      <c r="Y49" s="35">
        <v>0</v>
      </c>
      <c r="Z49" s="35"/>
      <c r="AA49" s="35"/>
      <c r="AB49" s="35">
        <v>0</v>
      </c>
      <c r="AC49" s="35">
        <v>0</v>
      </c>
      <c r="AD49" s="35">
        <v>0</v>
      </c>
      <c r="AE49" s="35">
        <v>0</v>
      </c>
      <c r="AF49" s="35"/>
      <c r="AG49" s="35"/>
      <c r="AH49" s="35"/>
      <c r="AI49" s="35"/>
      <c r="AJ49" s="35">
        <v>109.95</v>
      </c>
      <c r="AK49" s="35">
        <v>124548</v>
      </c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>
        <v>0</v>
      </c>
      <c r="BC49" s="35">
        <v>0</v>
      </c>
      <c r="BD49" s="36"/>
      <c r="BE49" s="37"/>
      <c r="BF49" s="37"/>
      <c r="BG49" s="13">
        <f t="shared" si="0"/>
        <v>1124548</v>
      </c>
      <c r="BH49" s="38"/>
      <c r="BI49" s="38"/>
      <c r="BJ49" s="33"/>
      <c r="BK49" s="33"/>
      <c r="BL49" s="33"/>
      <c r="BM49" s="13"/>
      <c r="BN49" s="33">
        <v>93675</v>
      </c>
      <c r="BO49" s="33">
        <v>11245</v>
      </c>
      <c r="BP49" s="33">
        <v>93675</v>
      </c>
      <c r="BQ49" s="33"/>
      <c r="BR49" s="33">
        <v>43400</v>
      </c>
      <c r="BS49" s="13">
        <f t="shared" si="9"/>
        <v>241995</v>
      </c>
      <c r="BT49" s="33">
        <v>120000</v>
      </c>
      <c r="BU49" s="33">
        <v>24360</v>
      </c>
      <c r="BV49" s="33">
        <v>40000</v>
      </c>
      <c r="BW49" s="33"/>
      <c r="BX49" s="13">
        <f t="shared" si="14"/>
        <v>184360</v>
      </c>
      <c r="BY49" s="39">
        <v>525000</v>
      </c>
      <c r="BZ49" s="39">
        <v>0</v>
      </c>
      <c r="CA49" s="33"/>
      <c r="CB49" s="33"/>
      <c r="CC49" s="33"/>
      <c r="CD49" s="33"/>
      <c r="CE49" s="33"/>
      <c r="CF49" s="33"/>
      <c r="CG49" s="33"/>
      <c r="CH49" s="40"/>
      <c r="CI49" s="33"/>
      <c r="CJ49" s="14">
        <v>134934</v>
      </c>
      <c r="CK49" s="33">
        <v>42005.902999999998</v>
      </c>
      <c r="CL49" s="33">
        <v>2210837</v>
      </c>
      <c r="CM49" s="33">
        <f t="shared" si="22"/>
        <v>2075903</v>
      </c>
      <c r="CN49" s="33">
        <v>42005.902999999998</v>
      </c>
      <c r="CO49" s="31"/>
      <c r="CP49" s="31"/>
      <c r="CQ49" s="31"/>
      <c r="CR49" s="31"/>
      <c r="CS49" s="31"/>
      <c r="CT49" s="31"/>
      <c r="CU49" s="59">
        <f t="shared" si="21"/>
        <v>2252842.9029999999</v>
      </c>
    </row>
    <row r="50" spans="1:99" s="16" customFormat="1" ht="15.75" x14ac:dyDescent="0.2">
      <c r="A50" s="57" t="s">
        <v>188</v>
      </c>
      <c r="B50" s="42">
        <v>1107067863</v>
      </c>
      <c r="C50" s="33" t="s">
        <v>151</v>
      </c>
      <c r="D50" s="43"/>
      <c r="E50" s="43" t="s">
        <v>58</v>
      </c>
      <c r="F50" s="41" t="s">
        <v>206</v>
      </c>
      <c r="G50" s="41"/>
      <c r="H50" s="44">
        <v>2.44</v>
      </c>
      <c r="I50" s="51">
        <v>109.95</v>
      </c>
      <c r="J50" s="35">
        <v>1100000</v>
      </c>
      <c r="K50" s="34"/>
      <c r="L50" s="35"/>
      <c r="M50" s="35"/>
      <c r="N50" s="35"/>
      <c r="O50" s="35"/>
      <c r="P50" s="35">
        <v>0</v>
      </c>
      <c r="Q50" s="35">
        <v>0</v>
      </c>
      <c r="R50" s="34">
        <v>0</v>
      </c>
      <c r="S50" s="35">
        <v>0</v>
      </c>
      <c r="T50" s="35">
        <v>0</v>
      </c>
      <c r="U50" s="35">
        <v>0</v>
      </c>
      <c r="V50" s="34">
        <v>0</v>
      </c>
      <c r="W50" s="35">
        <v>0</v>
      </c>
      <c r="X50" s="35">
        <v>0</v>
      </c>
      <c r="Y50" s="35">
        <v>0</v>
      </c>
      <c r="Z50" s="35"/>
      <c r="AA50" s="35"/>
      <c r="AB50" s="35">
        <v>0</v>
      </c>
      <c r="AC50" s="35">
        <v>0</v>
      </c>
      <c r="AD50" s="35">
        <v>0</v>
      </c>
      <c r="AE50" s="35">
        <v>0</v>
      </c>
      <c r="AF50" s="35"/>
      <c r="AG50" s="35"/>
      <c r="AH50" s="35"/>
      <c r="AI50" s="35"/>
      <c r="AJ50" s="35">
        <v>109.95</v>
      </c>
      <c r="AK50" s="35">
        <v>124548</v>
      </c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>
        <v>0</v>
      </c>
      <c r="BC50" s="35">
        <v>0</v>
      </c>
      <c r="BD50" s="36"/>
      <c r="BE50" s="37"/>
      <c r="BF50" s="37"/>
      <c r="BG50" s="13">
        <f t="shared" si="0"/>
        <v>1224548</v>
      </c>
      <c r="BH50" s="38"/>
      <c r="BI50" s="38"/>
      <c r="BJ50" s="33"/>
      <c r="BK50" s="33"/>
      <c r="BL50" s="33"/>
      <c r="BM50" s="13"/>
      <c r="BN50" s="33">
        <v>102005</v>
      </c>
      <c r="BO50" s="33">
        <v>12245</v>
      </c>
      <c r="BP50" s="33">
        <v>102005</v>
      </c>
      <c r="BQ50" s="33"/>
      <c r="BR50" s="33">
        <v>47740</v>
      </c>
      <c r="BS50" s="13">
        <f t="shared" si="9"/>
        <v>263995</v>
      </c>
      <c r="BT50" s="33">
        <v>132000</v>
      </c>
      <c r="BU50" s="33">
        <v>26796</v>
      </c>
      <c r="BV50" s="33">
        <v>44000</v>
      </c>
      <c r="BW50" s="33"/>
      <c r="BX50" s="13">
        <f t="shared" si="14"/>
        <v>202796</v>
      </c>
      <c r="BY50" s="39">
        <v>0</v>
      </c>
      <c r="BZ50" s="39">
        <v>0</v>
      </c>
      <c r="CA50" s="33"/>
      <c r="CB50" s="33"/>
      <c r="CC50" s="33"/>
      <c r="CD50" s="33"/>
      <c r="CE50" s="33"/>
      <c r="CF50" s="33"/>
      <c r="CG50" s="33"/>
      <c r="CH50" s="40"/>
      <c r="CI50" s="33"/>
      <c r="CJ50" s="14">
        <v>109938</v>
      </c>
      <c r="CK50" s="33">
        <v>34224.262999999999</v>
      </c>
      <c r="CL50" s="33">
        <v>1801277</v>
      </c>
      <c r="CM50" s="33">
        <f t="shared" si="22"/>
        <v>1691339</v>
      </c>
      <c r="CN50" s="33">
        <v>34224.262999999999</v>
      </c>
      <c r="CO50" s="31"/>
      <c r="CP50" s="31"/>
      <c r="CQ50" s="31"/>
      <c r="CR50" s="31"/>
      <c r="CS50" s="31"/>
      <c r="CT50" s="31"/>
      <c r="CU50" s="59">
        <f t="shared" si="21"/>
        <v>1835501.263</v>
      </c>
    </row>
    <row r="51" spans="1:99" s="16" customFormat="1" ht="15.75" x14ac:dyDescent="0.2">
      <c r="A51" s="57" t="s">
        <v>188</v>
      </c>
      <c r="B51" s="42">
        <v>1144188333</v>
      </c>
      <c r="C51" s="33" t="s">
        <v>152</v>
      </c>
      <c r="D51" s="43"/>
      <c r="E51" s="43" t="s">
        <v>58</v>
      </c>
      <c r="F51" s="41" t="s">
        <v>214</v>
      </c>
      <c r="G51" s="41"/>
      <c r="H51" s="44">
        <v>6.96</v>
      </c>
      <c r="I51" s="51">
        <v>109.95</v>
      </c>
      <c r="J51" s="35">
        <v>900000</v>
      </c>
      <c r="K51" s="34"/>
      <c r="L51" s="35"/>
      <c r="M51" s="35"/>
      <c r="N51" s="35"/>
      <c r="O51" s="35"/>
      <c r="P51" s="35">
        <v>0</v>
      </c>
      <c r="Q51" s="35">
        <v>0</v>
      </c>
      <c r="R51" s="34">
        <v>0</v>
      </c>
      <c r="S51" s="35">
        <v>0</v>
      </c>
      <c r="T51" s="35">
        <v>0</v>
      </c>
      <c r="U51" s="35">
        <v>0</v>
      </c>
      <c r="V51" s="34">
        <v>0</v>
      </c>
      <c r="W51" s="35">
        <v>0</v>
      </c>
      <c r="X51" s="35">
        <v>0</v>
      </c>
      <c r="Y51" s="35">
        <v>0</v>
      </c>
      <c r="Z51" s="35"/>
      <c r="AA51" s="35"/>
      <c r="AB51" s="35">
        <v>0</v>
      </c>
      <c r="AC51" s="35">
        <v>0</v>
      </c>
      <c r="AD51" s="35">
        <v>0</v>
      </c>
      <c r="AE51" s="35">
        <v>0</v>
      </c>
      <c r="AF51" s="35"/>
      <c r="AG51" s="35"/>
      <c r="AH51" s="35"/>
      <c r="AI51" s="35"/>
      <c r="AJ51" s="35">
        <v>109.95</v>
      </c>
      <c r="AK51" s="35">
        <v>124548</v>
      </c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>
        <v>0</v>
      </c>
      <c r="BC51" s="35">
        <v>0</v>
      </c>
      <c r="BD51" s="36"/>
      <c r="BE51" s="37"/>
      <c r="BF51" s="37"/>
      <c r="BG51" s="13">
        <f t="shared" si="0"/>
        <v>1024548</v>
      </c>
      <c r="BH51" s="38"/>
      <c r="BI51" s="38"/>
      <c r="BJ51" s="33"/>
      <c r="BK51" s="33"/>
      <c r="BL51" s="33"/>
      <c r="BM51" s="13"/>
      <c r="BN51" s="33">
        <v>85345</v>
      </c>
      <c r="BO51" s="33">
        <v>10245</v>
      </c>
      <c r="BP51" s="33">
        <v>85345</v>
      </c>
      <c r="BQ51" s="33"/>
      <c r="BR51" s="33">
        <v>39060</v>
      </c>
      <c r="BS51" s="13">
        <f t="shared" si="9"/>
        <v>219995</v>
      </c>
      <c r="BT51" s="33">
        <v>108000</v>
      </c>
      <c r="BU51" s="33">
        <v>62640</v>
      </c>
      <c r="BV51" s="33">
        <v>36000</v>
      </c>
      <c r="BW51" s="33"/>
      <c r="BX51" s="13">
        <f t="shared" si="14"/>
        <v>206640</v>
      </c>
      <c r="BY51" s="39">
        <v>157828</v>
      </c>
      <c r="BZ51" s="39">
        <v>0</v>
      </c>
      <c r="CA51" s="33"/>
      <c r="CB51" s="33"/>
      <c r="CC51" s="33"/>
      <c r="CD51" s="33"/>
      <c r="CE51" s="33"/>
      <c r="CF51" s="33"/>
      <c r="CG51" s="33"/>
      <c r="CH51" s="40"/>
      <c r="CI51" s="33"/>
      <c r="CJ51" s="14">
        <v>104587</v>
      </c>
      <c r="CK51" s="33">
        <v>32558.362000000001</v>
      </c>
      <c r="CL51" s="33">
        <v>1713598</v>
      </c>
      <c r="CM51" s="33">
        <f t="shared" si="22"/>
        <v>1609011</v>
      </c>
      <c r="CN51" s="33">
        <v>32558.362000000001</v>
      </c>
      <c r="CO51" s="31"/>
      <c r="CP51" s="31"/>
      <c r="CQ51" s="31"/>
      <c r="CR51" s="31"/>
      <c r="CS51" s="31"/>
      <c r="CT51" s="31"/>
      <c r="CU51" s="59">
        <f t="shared" si="21"/>
        <v>1746156.362</v>
      </c>
    </row>
    <row r="52" spans="1:99" s="16" customFormat="1" ht="15.75" x14ac:dyDescent="0.2">
      <c r="A52" s="57" t="s">
        <v>188</v>
      </c>
      <c r="B52" s="42">
        <v>1002927617</v>
      </c>
      <c r="C52" s="33" t="s">
        <v>153</v>
      </c>
      <c r="D52" s="43"/>
      <c r="E52" s="43" t="s">
        <v>58</v>
      </c>
      <c r="F52" s="41" t="s">
        <v>207</v>
      </c>
      <c r="G52" s="41"/>
      <c r="H52" s="44">
        <v>2.44</v>
      </c>
      <c r="I52" s="51">
        <v>109.95</v>
      </c>
      <c r="J52" s="35">
        <v>875453</v>
      </c>
      <c r="K52" s="34"/>
      <c r="L52" s="35"/>
      <c r="M52" s="35"/>
      <c r="N52" s="35"/>
      <c r="O52" s="35"/>
      <c r="P52" s="35">
        <v>0</v>
      </c>
      <c r="Q52" s="35">
        <v>0</v>
      </c>
      <c r="R52" s="34">
        <v>0</v>
      </c>
      <c r="S52" s="35">
        <v>0</v>
      </c>
      <c r="T52" s="35">
        <v>0</v>
      </c>
      <c r="U52" s="35">
        <v>0</v>
      </c>
      <c r="V52" s="34">
        <v>0</v>
      </c>
      <c r="W52" s="35">
        <v>0</v>
      </c>
      <c r="X52" s="35">
        <v>0</v>
      </c>
      <c r="Y52" s="35">
        <v>0</v>
      </c>
      <c r="Z52" s="35"/>
      <c r="AA52" s="35"/>
      <c r="AB52" s="35">
        <v>0</v>
      </c>
      <c r="AC52" s="35">
        <v>0</v>
      </c>
      <c r="AD52" s="35">
        <v>0</v>
      </c>
      <c r="AE52" s="35">
        <v>0</v>
      </c>
      <c r="AF52" s="35"/>
      <c r="AG52" s="35"/>
      <c r="AH52" s="35"/>
      <c r="AI52" s="35"/>
      <c r="AJ52" s="35">
        <v>109.95</v>
      </c>
      <c r="AK52" s="35">
        <v>124548</v>
      </c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>
        <v>0</v>
      </c>
      <c r="BC52" s="35">
        <v>0</v>
      </c>
      <c r="BD52" s="36"/>
      <c r="BE52" s="37"/>
      <c r="BF52" s="37"/>
      <c r="BG52" s="13">
        <f t="shared" si="0"/>
        <v>1000001</v>
      </c>
      <c r="BH52" s="38"/>
      <c r="BI52" s="38"/>
      <c r="BJ52" s="33"/>
      <c r="BK52" s="33"/>
      <c r="BL52" s="33"/>
      <c r="BM52" s="13"/>
      <c r="BN52" s="33">
        <v>83300</v>
      </c>
      <c r="BO52" s="33">
        <v>10000</v>
      </c>
      <c r="BP52" s="33">
        <v>83300</v>
      </c>
      <c r="BQ52" s="33"/>
      <c r="BR52" s="33">
        <v>37995</v>
      </c>
      <c r="BS52" s="13">
        <f t="shared" si="9"/>
        <v>214595</v>
      </c>
      <c r="BT52" s="33">
        <v>105054</v>
      </c>
      <c r="BU52" s="33">
        <v>21326</v>
      </c>
      <c r="BV52" s="33">
        <v>35018</v>
      </c>
      <c r="BW52" s="33"/>
      <c r="BX52" s="13">
        <f t="shared" si="14"/>
        <v>161398</v>
      </c>
      <c r="BY52" s="39">
        <v>225000</v>
      </c>
      <c r="BZ52" s="39">
        <v>0</v>
      </c>
      <c r="CA52" s="33"/>
      <c r="CB52" s="33"/>
      <c r="CC52" s="33"/>
      <c r="CD52" s="33"/>
      <c r="CE52" s="33"/>
      <c r="CF52" s="33"/>
      <c r="CG52" s="33"/>
      <c r="CH52" s="40"/>
      <c r="CI52" s="33"/>
      <c r="CJ52" s="14">
        <v>104065</v>
      </c>
      <c r="CK52" s="33">
        <v>32396.120999999999</v>
      </c>
      <c r="CL52" s="33">
        <v>1705059</v>
      </c>
      <c r="CM52" s="33">
        <f t="shared" si="22"/>
        <v>1600994</v>
      </c>
      <c r="CN52" s="33">
        <v>32396.120999999999</v>
      </c>
      <c r="CO52" s="31"/>
      <c r="CP52" s="31"/>
      <c r="CQ52" s="31"/>
      <c r="CR52" s="31"/>
      <c r="CS52" s="31"/>
      <c r="CT52" s="31"/>
      <c r="CU52" s="59">
        <f t="shared" si="21"/>
        <v>1737455.121</v>
      </c>
    </row>
    <row r="53" spans="1:99" s="16" customFormat="1" ht="15.75" x14ac:dyDescent="0.2">
      <c r="A53" s="57" t="s">
        <v>188</v>
      </c>
      <c r="B53" s="42">
        <v>1192782192</v>
      </c>
      <c r="C53" s="33" t="s">
        <v>154</v>
      </c>
      <c r="D53" s="43"/>
      <c r="E53" s="43" t="s">
        <v>58</v>
      </c>
      <c r="F53" s="41" t="s">
        <v>193</v>
      </c>
      <c r="G53" s="41"/>
      <c r="H53" s="44">
        <v>2.44</v>
      </c>
      <c r="I53" s="51">
        <v>109.95</v>
      </c>
      <c r="J53" s="35">
        <v>875453</v>
      </c>
      <c r="K53" s="34"/>
      <c r="L53" s="35"/>
      <c r="M53" s="35"/>
      <c r="N53" s="35"/>
      <c r="O53" s="35"/>
      <c r="P53" s="35">
        <v>0</v>
      </c>
      <c r="Q53" s="35">
        <v>0</v>
      </c>
      <c r="R53" s="34">
        <v>0</v>
      </c>
      <c r="S53" s="35">
        <v>0</v>
      </c>
      <c r="T53" s="35">
        <v>0</v>
      </c>
      <c r="U53" s="35">
        <v>0</v>
      </c>
      <c r="V53" s="34">
        <v>0</v>
      </c>
      <c r="W53" s="35">
        <v>0</v>
      </c>
      <c r="X53" s="35">
        <v>0</v>
      </c>
      <c r="Y53" s="35">
        <v>0</v>
      </c>
      <c r="Z53" s="35"/>
      <c r="AA53" s="35"/>
      <c r="AB53" s="35">
        <v>0</v>
      </c>
      <c r="AC53" s="35">
        <v>0</v>
      </c>
      <c r="AD53" s="35">
        <v>0</v>
      </c>
      <c r="AE53" s="35">
        <v>0</v>
      </c>
      <c r="AF53" s="35"/>
      <c r="AG53" s="35"/>
      <c r="AH53" s="35"/>
      <c r="AI53" s="35"/>
      <c r="AJ53" s="35">
        <v>109.95</v>
      </c>
      <c r="AK53" s="35">
        <v>124548</v>
      </c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>
        <v>0</v>
      </c>
      <c r="BC53" s="35">
        <v>0</v>
      </c>
      <c r="BD53" s="36"/>
      <c r="BE53" s="37"/>
      <c r="BF53" s="37"/>
      <c r="BG53" s="13">
        <f t="shared" si="0"/>
        <v>1000001</v>
      </c>
      <c r="BH53" s="38"/>
      <c r="BI53" s="38"/>
      <c r="BJ53" s="33"/>
      <c r="BK53" s="33"/>
      <c r="BL53" s="33"/>
      <c r="BM53" s="13"/>
      <c r="BN53" s="33">
        <v>83300</v>
      </c>
      <c r="BO53" s="33">
        <v>10000</v>
      </c>
      <c r="BP53" s="33">
        <v>83300</v>
      </c>
      <c r="BQ53" s="33"/>
      <c r="BR53" s="33">
        <v>37995</v>
      </c>
      <c r="BS53" s="13">
        <f t="shared" si="9"/>
        <v>214595</v>
      </c>
      <c r="BT53" s="33">
        <v>105054</v>
      </c>
      <c r="BU53" s="33">
        <v>21326</v>
      </c>
      <c r="BV53" s="33">
        <v>35018</v>
      </c>
      <c r="BW53" s="33"/>
      <c r="BX53" s="13">
        <f t="shared" si="14"/>
        <v>161398</v>
      </c>
      <c r="BY53" s="39">
        <v>175000</v>
      </c>
      <c r="BZ53" s="39">
        <v>0</v>
      </c>
      <c r="CA53" s="33"/>
      <c r="CB53" s="33"/>
      <c r="CC53" s="33"/>
      <c r="CD53" s="33"/>
      <c r="CE53" s="33"/>
      <c r="CF53" s="33"/>
      <c r="CG53" s="33"/>
      <c r="CH53" s="40"/>
      <c r="CI53" s="33"/>
      <c r="CJ53" s="14">
        <v>100815</v>
      </c>
      <c r="CK53" s="33">
        <v>31384.370999999999</v>
      </c>
      <c r="CL53" s="33">
        <v>1651809</v>
      </c>
      <c r="CM53" s="33">
        <f t="shared" si="22"/>
        <v>1550994</v>
      </c>
      <c r="CN53" s="33">
        <v>31384.370999999999</v>
      </c>
      <c r="CO53" s="31"/>
      <c r="CP53" s="31"/>
      <c r="CQ53" s="31"/>
      <c r="CR53" s="31"/>
      <c r="CS53" s="31"/>
      <c r="CT53" s="31"/>
      <c r="CU53" s="59">
        <f t="shared" si="21"/>
        <v>1683193.371</v>
      </c>
    </row>
    <row r="54" spans="1:99" s="16" customFormat="1" ht="15.75" x14ac:dyDescent="0.2">
      <c r="A54" s="57" t="s">
        <v>188</v>
      </c>
      <c r="B54" s="42">
        <v>1003555734</v>
      </c>
      <c r="C54" s="33" t="s">
        <v>155</v>
      </c>
      <c r="D54" s="43"/>
      <c r="E54" s="43" t="s">
        <v>58</v>
      </c>
      <c r="F54" s="41" t="s">
        <v>215</v>
      </c>
      <c r="G54" s="41"/>
      <c r="H54" s="44">
        <v>2.44</v>
      </c>
      <c r="I54" s="51">
        <v>109.95</v>
      </c>
      <c r="J54" s="35">
        <v>875453</v>
      </c>
      <c r="K54" s="34"/>
      <c r="L54" s="35"/>
      <c r="M54" s="35"/>
      <c r="N54" s="35"/>
      <c r="O54" s="35"/>
      <c r="P54" s="35">
        <v>0</v>
      </c>
      <c r="Q54" s="35">
        <v>0</v>
      </c>
      <c r="R54" s="34">
        <v>7.5</v>
      </c>
      <c r="S54" s="35">
        <v>74612</v>
      </c>
      <c r="T54" s="35">
        <v>0</v>
      </c>
      <c r="U54" s="35">
        <v>0</v>
      </c>
      <c r="V54" s="34">
        <v>0</v>
      </c>
      <c r="W54" s="35">
        <v>0</v>
      </c>
      <c r="X54" s="35">
        <v>0</v>
      </c>
      <c r="Y54" s="35">
        <v>0</v>
      </c>
      <c r="Z54" s="35"/>
      <c r="AA54" s="35"/>
      <c r="AB54" s="35">
        <v>7</v>
      </c>
      <c r="AC54" s="35">
        <v>100279</v>
      </c>
      <c r="AD54" s="35">
        <v>0</v>
      </c>
      <c r="AE54" s="35">
        <v>0</v>
      </c>
      <c r="AF54" s="35"/>
      <c r="AG54" s="35"/>
      <c r="AH54" s="35"/>
      <c r="AI54" s="35"/>
      <c r="AJ54" s="35">
        <v>109.95</v>
      </c>
      <c r="AK54" s="35">
        <v>124548</v>
      </c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>
        <v>0</v>
      </c>
      <c r="BC54" s="35">
        <v>0</v>
      </c>
      <c r="BD54" s="36"/>
      <c r="BE54" s="37"/>
      <c r="BF54" s="37"/>
      <c r="BG54" s="13">
        <f t="shared" si="0"/>
        <v>1174892</v>
      </c>
      <c r="BH54" s="38"/>
      <c r="BI54" s="38"/>
      <c r="BJ54" s="33"/>
      <c r="BK54" s="33"/>
      <c r="BL54" s="33"/>
      <c r="BM54" s="13"/>
      <c r="BN54" s="33">
        <v>97868</v>
      </c>
      <c r="BO54" s="33">
        <v>11749</v>
      </c>
      <c r="BP54" s="33">
        <v>97868</v>
      </c>
      <c r="BQ54" s="33"/>
      <c r="BR54" s="33">
        <v>37995</v>
      </c>
      <c r="BS54" s="13">
        <f t="shared" si="9"/>
        <v>245480</v>
      </c>
      <c r="BT54" s="33">
        <v>126040</v>
      </c>
      <c r="BU54" s="33">
        <v>25587</v>
      </c>
      <c r="BV54" s="33">
        <v>42013</v>
      </c>
      <c r="BW54" s="33"/>
      <c r="BX54" s="13">
        <f t="shared" si="14"/>
        <v>193640</v>
      </c>
      <c r="BY54" s="39">
        <v>250000</v>
      </c>
      <c r="BZ54" s="39">
        <v>0</v>
      </c>
      <c r="CA54" s="33"/>
      <c r="CB54" s="33"/>
      <c r="CC54" s="33"/>
      <c r="CD54" s="33"/>
      <c r="CE54" s="33"/>
      <c r="CF54" s="33"/>
      <c r="CG54" s="33"/>
      <c r="CH54" s="40"/>
      <c r="CI54" s="33"/>
      <c r="CJ54" s="14">
        <v>121161</v>
      </c>
      <c r="CK54" s="33">
        <v>37718.286999999997</v>
      </c>
      <c r="CL54" s="33">
        <v>1985173</v>
      </c>
      <c r="CM54" s="33">
        <f t="shared" si="22"/>
        <v>1864012</v>
      </c>
      <c r="CN54" s="33">
        <v>37718.286999999997</v>
      </c>
      <c r="CO54" s="31"/>
      <c r="CP54" s="31"/>
      <c r="CQ54" s="31"/>
      <c r="CR54" s="31"/>
      <c r="CS54" s="31"/>
      <c r="CT54" s="31"/>
      <c r="CU54" s="59">
        <f t="shared" si="21"/>
        <v>2022891.287</v>
      </c>
    </row>
    <row r="55" spans="1:99" s="16" customFormat="1" ht="15.75" x14ac:dyDescent="0.2">
      <c r="A55" s="57" t="s">
        <v>188</v>
      </c>
      <c r="B55" s="42">
        <v>1130614018</v>
      </c>
      <c r="C55" s="33" t="s">
        <v>156</v>
      </c>
      <c r="D55" s="43"/>
      <c r="E55" s="43" t="s">
        <v>58</v>
      </c>
      <c r="F55" s="41" t="s">
        <v>216</v>
      </c>
      <c r="G55" s="41"/>
      <c r="H55" s="44">
        <v>2.44</v>
      </c>
      <c r="I55" s="51">
        <v>109.95</v>
      </c>
      <c r="J55" s="35">
        <v>875453</v>
      </c>
      <c r="K55" s="34"/>
      <c r="L55" s="35"/>
      <c r="M55" s="35"/>
      <c r="N55" s="35"/>
      <c r="O55" s="35"/>
      <c r="P55" s="35">
        <v>0</v>
      </c>
      <c r="Q55" s="35">
        <v>0</v>
      </c>
      <c r="R55" s="34">
        <v>0</v>
      </c>
      <c r="S55" s="35">
        <v>0</v>
      </c>
      <c r="T55" s="35">
        <v>0</v>
      </c>
      <c r="U55" s="35">
        <v>0</v>
      </c>
      <c r="V55" s="34">
        <v>0</v>
      </c>
      <c r="W55" s="35">
        <v>0</v>
      </c>
      <c r="X55" s="35">
        <v>0</v>
      </c>
      <c r="Y55" s="35">
        <v>0</v>
      </c>
      <c r="Z55" s="35"/>
      <c r="AA55" s="35"/>
      <c r="AB55" s="35">
        <v>0</v>
      </c>
      <c r="AC55" s="35">
        <v>0</v>
      </c>
      <c r="AD55" s="35">
        <v>0</v>
      </c>
      <c r="AE55" s="35">
        <v>0</v>
      </c>
      <c r="AF55" s="35"/>
      <c r="AG55" s="35"/>
      <c r="AH55" s="35"/>
      <c r="AI55" s="35"/>
      <c r="AJ55" s="35">
        <v>109.95</v>
      </c>
      <c r="AK55" s="35">
        <v>124548</v>
      </c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>
        <v>0</v>
      </c>
      <c r="BC55" s="35">
        <v>0</v>
      </c>
      <c r="BD55" s="36"/>
      <c r="BE55" s="37"/>
      <c r="BF55" s="37"/>
      <c r="BG55" s="13">
        <f t="shared" si="0"/>
        <v>1000001</v>
      </c>
      <c r="BH55" s="38"/>
      <c r="BI55" s="38"/>
      <c r="BJ55" s="33"/>
      <c r="BK55" s="33"/>
      <c r="BL55" s="33"/>
      <c r="BM55" s="13"/>
      <c r="BN55" s="33">
        <v>83300</v>
      </c>
      <c r="BO55" s="33">
        <v>10000</v>
      </c>
      <c r="BP55" s="33">
        <v>83300</v>
      </c>
      <c r="BQ55" s="33"/>
      <c r="BR55" s="33">
        <v>37995</v>
      </c>
      <c r="BS55" s="13">
        <f t="shared" si="9"/>
        <v>214595</v>
      </c>
      <c r="BT55" s="33">
        <v>105054</v>
      </c>
      <c r="BU55" s="33">
        <v>21326</v>
      </c>
      <c r="BV55" s="33">
        <v>35018</v>
      </c>
      <c r="BW55" s="33"/>
      <c r="BX55" s="13">
        <f t="shared" si="14"/>
        <v>161398</v>
      </c>
      <c r="BY55" s="39">
        <v>165000</v>
      </c>
      <c r="BZ55" s="39">
        <v>0</v>
      </c>
      <c r="CA55" s="33"/>
      <c r="CB55" s="33"/>
      <c r="CC55" s="33"/>
      <c r="CD55" s="33"/>
      <c r="CE55" s="33"/>
      <c r="CF55" s="33"/>
      <c r="CG55" s="33"/>
      <c r="CH55" s="40"/>
      <c r="CI55" s="33"/>
      <c r="CJ55" s="14">
        <v>100165</v>
      </c>
      <c r="CK55" s="33">
        <v>31182.021000000001</v>
      </c>
      <c r="CL55" s="33">
        <v>1641159</v>
      </c>
      <c r="CM55" s="33">
        <f t="shared" si="22"/>
        <v>1540994</v>
      </c>
      <c r="CN55" s="33">
        <v>31182.021000000001</v>
      </c>
      <c r="CO55" s="31"/>
      <c r="CP55" s="31"/>
      <c r="CQ55" s="31"/>
      <c r="CR55" s="31"/>
      <c r="CS55" s="31"/>
      <c r="CT55" s="31"/>
      <c r="CU55" s="59">
        <f t="shared" si="21"/>
        <v>1672341.0209999999</v>
      </c>
    </row>
    <row r="56" spans="1:99" s="16" customFormat="1" ht="15.75" x14ac:dyDescent="0.2">
      <c r="A56" s="57" t="s">
        <v>188</v>
      </c>
      <c r="B56" s="42">
        <v>6625596</v>
      </c>
      <c r="C56" s="33" t="s">
        <v>157</v>
      </c>
      <c r="D56" s="43"/>
      <c r="E56" s="43" t="s">
        <v>58</v>
      </c>
      <c r="F56" s="41" t="s">
        <v>217</v>
      </c>
      <c r="G56" s="41" t="s">
        <v>191</v>
      </c>
      <c r="H56" s="44">
        <v>2.44</v>
      </c>
      <c r="I56" s="51">
        <v>0</v>
      </c>
      <c r="J56" s="35">
        <v>291844</v>
      </c>
      <c r="K56" s="34"/>
      <c r="L56" s="35"/>
      <c r="M56" s="35"/>
      <c r="N56" s="35"/>
      <c r="O56" s="35"/>
      <c r="P56" s="35">
        <v>0</v>
      </c>
      <c r="Q56" s="35">
        <v>0</v>
      </c>
      <c r="R56" s="34">
        <v>0</v>
      </c>
      <c r="S56" s="35">
        <v>0</v>
      </c>
      <c r="T56" s="35">
        <v>0</v>
      </c>
      <c r="U56" s="35">
        <v>0</v>
      </c>
      <c r="V56" s="34">
        <v>0</v>
      </c>
      <c r="W56" s="35">
        <v>0</v>
      </c>
      <c r="X56" s="35">
        <v>0</v>
      </c>
      <c r="Y56" s="35">
        <v>0</v>
      </c>
      <c r="Z56" s="35"/>
      <c r="AA56" s="35"/>
      <c r="AB56" s="35">
        <v>0</v>
      </c>
      <c r="AC56" s="35">
        <v>0</v>
      </c>
      <c r="AD56" s="35">
        <v>0</v>
      </c>
      <c r="AE56" s="35">
        <v>0</v>
      </c>
      <c r="AF56" s="35"/>
      <c r="AG56" s="35"/>
      <c r="AH56" s="35"/>
      <c r="AI56" s="35"/>
      <c r="AJ56" s="35">
        <v>0</v>
      </c>
      <c r="AK56" s="35">
        <v>41516</v>
      </c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>
        <v>0</v>
      </c>
      <c r="BC56" s="35">
        <v>0</v>
      </c>
      <c r="BD56" s="36"/>
      <c r="BE56" s="37"/>
      <c r="BF56" s="37"/>
      <c r="BG56" s="13">
        <f t="shared" si="0"/>
        <v>333360</v>
      </c>
      <c r="BH56" s="38"/>
      <c r="BI56" s="38"/>
      <c r="BJ56" s="33"/>
      <c r="BK56" s="33"/>
      <c r="BL56" s="33"/>
      <c r="BM56" s="13"/>
      <c r="BN56" s="33">
        <v>27769</v>
      </c>
      <c r="BO56" s="33">
        <v>3333</v>
      </c>
      <c r="BP56" s="33">
        <v>27769</v>
      </c>
      <c r="BQ56" s="33"/>
      <c r="BR56" s="33">
        <v>12666</v>
      </c>
      <c r="BS56" s="13">
        <f t="shared" si="9"/>
        <v>71537</v>
      </c>
      <c r="BT56" s="33">
        <v>35021</v>
      </c>
      <c r="BU56" s="33">
        <v>7109</v>
      </c>
      <c r="BV56" s="33">
        <v>11674</v>
      </c>
      <c r="BW56" s="33"/>
      <c r="BX56" s="13">
        <f t="shared" si="14"/>
        <v>53804</v>
      </c>
      <c r="BY56" s="39">
        <v>183333</v>
      </c>
      <c r="BZ56" s="39">
        <v>0</v>
      </c>
      <c r="CA56" s="33"/>
      <c r="CB56" s="33"/>
      <c r="CC56" s="33"/>
      <c r="CD56" s="33"/>
      <c r="CE56" s="33"/>
      <c r="CF56" s="33"/>
      <c r="CG56" s="33"/>
      <c r="CH56" s="40"/>
      <c r="CI56" s="33"/>
      <c r="CJ56" s="14">
        <v>41733</v>
      </c>
      <c r="CK56" s="33">
        <v>12991.573</v>
      </c>
      <c r="CL56" s="33">
        <v>683767</v>
      </c>
      <c r="CM56" s="33">
        <f t="shared" si="22"/>
        <v>642034</v>
      </c>
      <c r="CN56" s="33">
        <v>12991.573</v>
      </c>
      <c r="CO56" s="31"/>
      <c r="CP56" s="31"/>
      <c r="CQ56" s="31"/>
      <c r="CR56" s="31"/>
      <c r="CS56" s="31"/>
      <c r="CT56" s="31"/>
      <c r="CU56" s="59">
        <f t="shared" si="21"/>
        <v>696758.57299999997</v>
      </c>
    </row>
    <row r="57" spans="1:99" s="16" customFormat="1" ht="15.75" x14ac:dyDescent="0.2">
      <c r="A57" s="57" t="s">
        <v>188</v>
      </c>
      <c r="B57" s="42">
        <v>1143830585</v>
      </c>
      <c r="C57" s="33" t="s">
        <v>158</v>
      </c>
      <c r="D57" s="43"/>
      <c r="E57" s="43" t="s">
        <v>58</v>
      </c>
      <c r="F57" s="41" t="s">
        <v>218</v>
      </c>
      <c r="G57" s="41"/>
      <c r="H57" s="44">
        <v>2.44</v>
      </c>
      <c r="I57" s="51">
        <v>109.95</v>
      </c>
      <c r="J57" s="35">
        <v>1000000</v>
      </c>
      <c r="K57" s="34"/>
      <c r="L57" s="35"/>
      <c r="M57" s="35"/>
      <c r="N57" s="35"/>
      <c r="O57" s="35"/>
      <c r="P57" s="35">
        <v>0</v>
      </c>
      <c r="Q57" s="35">
        <v>0</v>
      </c>
      <c r="R57" s="34">
        <v>12</v>
      </c>
      <c r="S57" s="35">
        <v>136364</v>
      </c>
      <c r="T57" s="35">
        <v>0</v>
      </c>
      <c r="U57" s="35">
        <v>0</v>
      </c>
      <c r="V57" s="34">
        <v>0</v>
      </c>
      <c r="W57" s="35">
        <v>0</v>
      </c>
      <c r="X57" s="35">
        <v>0</v>
      </c>
      <c r="Y57" s="35">
        <v>0</v>
      </c>
      <c r="Z57" s="35"/>
      <c r="AA57" s="35"/>
      <c r="AB57" s="35">
        <v>0</v>
      </c>
      <c r="AC57" s="35">
        <v>0</v>
      </c>
      <c r="AD57" s="35">
        <v>0</v>
      </c>
      <c r="AE57" s="35">
        <v>0</v>
      </c>
      <c r="AF57" s="35"/>
      <c r="AG57" s="35"/>
      <c r="AH57" s="35"/>
      <c r="AI57" s="35"/>
      <c r="AJ57" s="35">
        <v>109.95</v>
      </c>
      <c r="AK57" s="35">
        <v>124548</v>
      </c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>
        <v>0</v>
      </c>
      <c r="BC57" s="35">
        <v>0</v>
      </c>
      <c r="BD57" s="36"/>
      <c r="BE57" s="37"/>
      <c r="BF57" s="37"/>
      <c r="BG57" s="13">
        <f t="shared" si="0"/>
        <v>1260912</v>
      </c>
      <c r="BH57" s="38"/>
      <c r="BI57" s="38"/>
      <c r="BJ57" s="33"/>
      <c r="BK57" s="33"/>
      <c r="BL57" s="33"/>
      <c r="BM57" s="13"/>
      <c r="BN57" s="33">
        <v>105034</v>
      </c>
      <c r="BO57" s="33">
        <v>12609</v>
      </c>
      <c r="BP57" s="33">
        <v>105034</v>
      </c>
      <c r="BQ57" s="33"/>
      <c r="BR57" s="33">
        <v>43400</v>
      </c>
      <c r="BS57" s="13">
        <f t="shared" si="9"/>
        <v>266077</v>
      </c>
      <c r="BT57" s="33">
        <v>136364</v>
      </c>
      <c r="BU57" s="33">
        <v>27682</v>
      </c>
      <c r="BV57" s="33">
        <v>45455</v>
      </c>
      <c r="BW57" s="33"/>
      <c r="BX57" s="13">
        <f t="shared" si="14"/>
        <v>209501</v>
      </c>
      <c r="BY57" s="39">
        <v>0</v>
      </c>
      <c r="BZ57" s="39">
        <v>0</v>
      </c>
      <c r="CA57" s="33"/>
      <c r="CB57" s="33"/>
      <c r="CC57" s="33"/>
      <c r="CD57" s="33"/>
      <c r="CE57" s="33"/>
      <c r="CF57" s="33"/>
      <c r="CG57" s="33"/>
      <c r="CH57" s="40"/>
      <c r="CI57" s="33"/>
      <c r="CJ57" s="14">
        <v>112872</v>
      </c>
      <c r="CK57" s="33">
        <v>35137.877999999997</v>
      </c>
      <c r="CL57" s="33">
        <v>1849362</v>
      </c>
      <c r="CM57" s="33">
        <f t="shared" si="22"/>
        <v>1736490</v>
      </c>
      <c r="CN57" s="33">
        <v>35137.877999999997</v>
      </c>
      <c r="CO57" s="31"/>
      <c r="CP57" s="31"/>
      <c r="CQ57" s="31"/>
      <c r="CR57" s="31"/>
      <c r="CS57" s="31"/>
      <c r="CT57" s="31"/>
      <c r="CU57" s="59">
        <f t="shared" si="21"/>
        <v>1884499.878</v>
      </c>
    </row>
    <row r="58" spans="1:99" s="16" customFormat="1" ht="15.75" x14ac:dyDescent="0.2">
      <c r="A58" s="57" t="s">
        <v>188</v>
      </c>
      <c r="B58" s="42">
        <v>1114877279</v>
      </c>
      <c r="C58" s="33" t="s">
        <v>159</v>
      </c>
      <c r="D58" s="43"/>
      <c r="E58" s="43" t="s">
        <v>58</v>
      </c>
      <c r="F58" s="41" t="s">
        <v>219</v>
      </c>
      <c r="G58" s="41"/>
      <c r="H58" s="44">
        <v>2.44</v>
      </c>
      <c r="I58" s="51">
        <v>109.95</v>
      </c>
      <c r="J58" s="35">
        <v>875453</v>
      </c>
      <c r="K58" s="34"/>
      <c r="L58" s="35"/>
      <c r="M58" s="35"/>
      <c r="N58" s="35"/>
      <c r="O58" s="35"/>
      <c r="P58" s="35">
        <v>0</v>
      </c>
      <c r="Q58" s="35">
        <v>0</v>
      </c>
      <c r="R58" s="34">
        <v>17</v>
      </c>
      <c r="S58" s="35">
        <v>169122</v>
      </c>
      <c r="T58" s="35">
        <v>0</v>
      </c>
      <c r="U58" s="35">
        <v>0</v>
      </c>
      <c r="V58" s="34">
        <v>0</v>
      </c>
      <c r="W58" s="35">
        <v>0</v>
      </c>
      <c r="X58" s="35">
        <v>0</v>
      </c>
      <c r="Y58" s="35">
        <v>0</v>
      </c>
      <c r="Z58" s="35"/>
      <c r="AA58" s="35"/>
      <c r="AB58" s="35">
        <v>0</v>
      </c>
      <c r="AC58" s="35">
        <v>0</v>
      </c>
      <c r="AD58" s="35">
        <v>0</v>
      </c>
      <c r="AE58" s="35">
        <v>0</v>
      </c>
      <c r="AF58" s="35"/>
      <c r="AG58" s="35"/>
      <c r="AH58" s="35"/>
      <c r="AI58" s="35"/>
      <c r="AJ58" s="35">
        <v>109.95</v>
      </c>
      <c r="AK58" s="35">
        <v>124548</v>
      </c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>
        <v>0</v>
      </c>
      <c r="BC58" s="35">
        <v>0</v>
      </c>
      <c r="BD58" s="36"/>
      <c r="BE58" s="37"/>
      <c r="BF58" s="37"/>
      <c r="BG58" s="13">
        <f t="shared" si="0"/>
        <v>1169123</v>
      </c>
      <c r="BH58" s="38"/>
      <c r="BI58" s="38"/>
      <c r="BJ58" s="33"/>
      <c r="BK58" s="33"/>
      <c r="BL58" s="33"/>
      <c r="BM58" s="13"/>
      <c r="BN58" s="33">
        <v>97388</v>
      </c>
      <c r="BO58" s="33">
        <v>11691</v>
      </c>
      <c r="BP58" s="33">
        <v>97388</v>
      </c>
      <c r="BQ58" s="33"/>
      <c r="BR58" s="33">
        <v>37995</v>
      </c>
      <c r="BS58" s="13">
        <f t="shared" si="9"/>
        <v>244462</v>
      </c>
      <c r="BT58" s="33">
        <v>125349</v>
      </c>
      <c r="BU58" s="33">
        <v>25446</v>
      </c>
      <c r="BV58" s="33">
        <v>41783</v>
      </c>
      <c r="BW58" s="33"/>
      <c r="BX58" s="13">
        <f t="shared" si="14"/>
        <v>192578</v>
      </c>
      <c r="BY58" s="39">
        <v>35000</v>
      </c>
      <c r="BZ58" s="39">
        <v>0</v>
      </c>
      <c r="CA58" s="33"/>
      <c r="CB58" s="33"/>
      <c r="CC58" s="33"/>
      <c r="CD58" s="33"/>
      <c r="CE58" s="33"/>
      <c r="CF58" s="33"/>
      <c r="CG58" s="33"/>
      <c r="CH58" s="40"/>
      <c r="CI58" s="33"/>
      <c r="CJ58" s="14">
        <v>106676</v>
      </c>
      <c r="CK58" s="33">
        <v>33208.940999999999</v>
      </c>
      <c r="CL58" s="33">
        <v>1747839</v>
      </c>
      <c r="CM58" s="33">
        <f t="shared" si="22"/>
        <v>1641163</v>
      </c>
      <c r="CN58" s="33">
        <v>33208.940999999999</v>
      </c>
      <c r="CO58" s="31"/>
      <c r="CP58" s="31"/>
      <c r="CQ58" s="31"/>
      <c r="CR58" s="31"/>
      <c r="CS58" s="31"/>
      <c r="CT58" s="31"/>
      <c r="CU58" s="59">
        <f t="shared" si="21"/>
        <v>1781047.9410000001</v>
      </c>
    </row>
    <row r="59" spans="1:99" s="16" customFormat="1" ht="15.75" x14ac:dyDescent="0.2">
      <c r="A59" s="57" t="s">
        <v>188</v>
      </c>
      <c r="B59" s="42">
        <v>1123205523</v>
      </c>
      <c r="C59" s="33" t="s">
        <v>160</v>
      </c>
      <c r="D59" s="43"/>
      <c r="E59" s="43" t="s">
        <v>58</v>
      </c>
      <c r="F59" s="41" t="s">
        <v>220</v>
      </c>
      <c r="G59" s="41"/>
      <c r="H59" s="44">
        <v>2.44</v>
      </c>
      <c r="I59" s="51">
        <v>109.95</v>
      </c>
      <c r="J59" s="35">
        <v>875453</v>
      </c>
      <c r="K59" s="34"/>
      <c r="L59" s="35"/>
      <c r="M59" s="35"/>
      <c r="N59" s="35"/>
      <c r="O59" s="35"/>
      <c r="P59" s="35">
        <v>0</v>
      </c>
      <c r="Q59" s="35">
        <v>0</v>
      </c>
      <c r="R59" s="34">
        <v>15</v>
      </c>
      <c r="S59" s="35">
        <v>149225</v>
      </c>
      <c r="T59" s="35">
        <v>0</v>
      </c>
      <c r="U59" s="35">
        <v>0</v>
      </c>
      <c r="V59" s="34">
        <v>0</v>
      </c>
      <c r="W59" s="35">
        <v>0</v>
      </c>
      <c r="X59" s="35">
        <v>0</v>
      </c>
      <c r="Y59" s="35">
        <v>0</v>
      </c>
      <c r="Z59" s="35"/>
      <c r="AA59" s="35"/>
      <c r="AB59" s="35">
        <v>0</v>
      </c>
      <c r="AC59" s="35">
        <v>0</v>
      </c>
      <c r="AD59" s="35">
        <v>0</v>
      </c>
      <c r="AE59" s="35">
        <v>0</v>
      </c>
      <c r="AF59" s="35"/>
      <c r="AG59" s="35"/>
      <c r="AH59" s="35"/>
      <c r="AI59" s="35"/>
      <c r="AJ59" s="35">
        <v>109.95</v>
      </c>
      <c r="AK59" s="35">
        <v>124548</v>
      </c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>
        <v>0</v>
      </c>
      <c r="BC59" s="35">
        <v>0</v>
      </c>
      <c r="BD59" s="36"/>
      <c r="BE59" s="37"/>
      <c r="BF59" s="37"/>
      <c r="BG59" s="13">
        <f t="shared" si="0"/>
        <v>1149226</v>
      </c>
      <c r="BH59" s="38"/>
      <c r="BI59" s="38"/>
      <c r="BJ59" s="33"/>
      <c r="BK59" s="33"/>
      <c r="BL59" s="33"/>
      <c r="BM59" s="13"/>
      <c r="BN59" s="33">
        <v>95730</v>
      </c>
      <c r="BO59" s="33">
        <v>11492</v>
      </c>
      <c r="BP59" s="33">
        <v>95730</v>
      </c>
      <c r="BQ59" s="33"/>
      <c r="BR59" s="33">
        <v>37995</v>
      </c>
      <c r="BS59" s="13">
        <f t="shared" si="9"/>
        <v>240947</v>
      </c>
      <c r="BT59" s="33">
        <v>122961</v>
      </c>
      <c r="BU59" s="33">
        <v>24961</v>
      </c>
      <c r="BV59" s="33">
        <v>40987</v>
      </c>
      <c r="BW59" s="33"/>
      <c r="BX59" s="13">
        <f t="shared" si="14"/>
        <v>188909</v>
      </c>
      <c r="BY59" s="39">
        <v>35000</v>
      </c>
      <c r="BZ59" s="39">
        <v>0</v>
      </c>
      <c r="CA59" s="33"/>
      <c r="CB59" s="33"/>
      <c r="CC59" s="33"/>
      <c r="CD59" s="33"/>
      <c r="CE59" s="33"/>
      <c r="CF59" s="33"/>
      <c r="CG59" s="33"/>
      <c r="CH59" s="40"/>
      <c r="CI59" s="33"/>
      <c r="CJ59" s="14">
        <v>104916</v>
      </c>
      <c r="CK59" s="33">
        <v>32660.962</v>
      </c>
      <c r="CL59" s="33">
        <v>1718998</v>
      </c>
      <c r="CM59" s="33">
        <f t="shared" si="22"/>
        <v>1614082</v>
      </c>
      <c r="CN59" s="33">
        <v>32660.962</v>
      </c>
      <c r="CO59" s="31"/>
      <c r="CP59" s="31"/>
      <c r="CQ59" s="31"/>
      <c r="CR59" s="31"/>
      <c r="CS59" s="31"/>
      <c r="CT59" s="31"/>
      <c r="CU59" s="59">
        <f t="shared" si="21"/>
        <v>1751658.9620000001</v>
      </c>
    </row>
    <row r="60" spans="1:99" s="16" customFormat="1" ht="15.75" x14ac:dyDescent="0.2">
      <c r="A60" s="57" t="s">
        <v>188</v>
      </c>
      <c r="B60" s="42">
        <v>1118312108</v>
      </c>
      <c r="C60" s="33" t="s">
        <v>161</v>
      </c>
      <c r="D60" s="43"/>
      <c r="E60" s="43" t="s">
        <v>58</v>
      </c>
      <c r="F60" s="41" t="s">
        <v>221</v>
      </c>
      <c r="G60" s="41"/>
      <c r="H60" s="44">
        <v>2.44</v>
      </c>
      <c r="I60" s="51">
        <v>109.95</v>
      </c>
      <c r="J60" s="35">
        <v>1400000</v>
      </c>
      <c r="K60" s="34"/>
      <c r="L60" s="35"/>
      <c r="M60" s="35"/>
      <c r="N60" s="35"/>
      <c r="O60" s="35"/>
      <c r="P60" s="35">
        <v>0</v>
      </c>
      <c r="Q60" s="35">
        <v>0</v>
      </c>
      <c r="R60" s="34">
        <v>0</v>
      </c>
      <c r="S60" s="35">
        <v>0</v>
      </c>
      <c r="T60" s="35">
        <v>0</v>
      </c>
      <c r="U60" s="35">
        <v>0</v>
      </c>
      <c r="V60" s="34">
        <v>0</v>
      </c>
      <c r="W60" s="35">
        <v>0</v>
      </c>
      <c r="X60" s="35">
        <v>0</v>
      </c>
      <c r="Y60" s="35">
        <v>0</v>
      </c>
      <c r="Z60" s="35"/>
      <c r="AA60" s="35"/>
      <c r="AB60" s="35">
        <v>0</v>
      </c>
      <c r="AC60" s="35">
        <v>0</v>
      </c>
      <c r="AD60" s="35">
        <v>0</v>
      </c>
      <c r="AE60" s="35">
        <v>0</v>
      </c>
      <c r="AF60" s="35"/>
      <c r="AG60" s="35"/>
      <c r="AH60" s="35"/>
      <c r="AI60" s="35"/>
      <c r="AJ60" s="35">
        <v>109.95</v>
      </c>
      <c r="AK60" s="35">
        <v>124548</v>
      </c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>
        <v>0</v>
      </c>
      <c r="BC60" s="35">
        <v>0</v>
      </c>
      <c r="BD60" s="36"/>
      <c r="BE60" s="37"/>
      <c r="BF60" s="37"/>
      <c r="BG60" s="13">
        <f t="shared" si="0"/>
        <v>1524548</v>
      </c>
      <c r="BH60" s="38"/>
      <c r="BI60" s="38"/>
      <c r="BJ60" s="33"/>
      <c r="BK60" s="33"/>
      <c r="BL60" s="33"/>
      <c r="BM60" s="13"/>
      <c r="BN60" s="33">
        <v>126995</v>
      </c>
      <c r="BO60" s="33">
        <v>15245</v>
      </c>
      <c r="BP60" s="33">
        <v>126995</v>
      </c>
      <c r="BQ60" s="33"/>
      <c r="BR60" s="33">
        <v>60760</v>
      </c>
      <c r="BS60" s="13">
        <f t="shared" si="9"/>
        <v>329995</v>
      </c>
      <c r="BT60" s="33">
        <v>168000</v>
      </c>
      <c r="BU60" s="33">
        <v>34104</v>
      </c>
      <c r="BV60" s="33">
        <v>56000</v>
      </c>
      <c r="BW60" s="33"/>
      <c r="BX60" s="13">
        <f t="shared" si="14"/>
        <v>258104</v>
      </c>
      <c r="BY60" s="39">
        <v>51953</v>
      </c>
      <c r="BZ60" s="39">
        <v>0</v>
      </c>
      <c r="CA60" s="33"/>
      <c r="CB60" s="33"/>
      <c r="CC60" s="33"/>
      <c r="CD60" s="33"/>
      <c r="CE60" s="33"/>
      <c r="CF60" s="33"/>
      <c r="CG60" s="33"/>
      <c r="CH60" s="40"/>
      <c r="CI60" s="33"/>
      <c r="CJ60" s="14">
        <v>140700</v>
      </c>
      <c r="CK60" s="33">
        <v>43800.7</v>
      </c>
      <c r="CL60" s="33">
        <v>2305300</v>
      </c>
      <c r="CM60" s="33">
        <f t="shared" si="22"/>
        <v>2164600</v>
      </c>
      <c r="CN60" s="33">
        <v>43800.7</v>
      </c>
      <c r="CO60" s="31"/>
      <c r="CP60" s="31"/>
      <c r="CQ60" s="31"/>
      <c r="CR60" s="31"/>
      <c r="CS60" s="31"/>
      <c r="CT60" s="31"/>
      <c r="CU60" s="59">
        <f t="shared" si="21"/>
        <v>2349100.7000000002</v>
      </c>
    </row>
    <row r="61" spans="1:99" s="16" customFormat="1" ht="15.75" x14ac:dyDescent="0.2">
      <c r="A61" s="57" t="s">
        <v>188</v>
      </c>
      <c r="B61" s="42">
        <v>1118307632</v>
      </c>
      <c r="C61" s="33" t="s">
        <v>162</v>
      </c>
      <c r="D61" s="43"/>
      <c r="E61" s="43" t="s">
        <v>58</v>
      </c>
      <c r="F61" s="41" t="s">
        <v>222</v>
      </c>
      <c r="G61" s="41"/>
      <c r="H61" s="44">
        <v>2.44</v>
      </c>
      <c r="I61" s="51">
        <v>109.95</v>
      </c>
      <c r="J61" s="35">
        <v>900000</v>
      </c>
      <c r="K61" s="34"/>
      <c r="L61" s="35"/>
      <c r="M61" s="35"/>
      <c r="N61" s="35"/>
      <c r="O61" s="35"/>
      <c r="P61" s="35">
        <v>0</v>
      </c>
      <c r="Q61" s="35">
        <v>0</v>
      </c>
      <c r="R61" s="34">
        <v>18.5</v>
      </c>
      <c r="S61" s="35">
        <v>189205</v>
      </c>
      <c r="T61" s="35">
        <v>0</v>
      </c>
      <c r="U61" s="35">
        <v>0</v>
      </c>
      <c r="V61" s="34">
        <v>0</v>
      </c>
      <c r="W61" s="35">
        <v>0</v>
      </c>
      <c r="X61" s="35">
        <v>0</v>
      </c>
      <c r="Y61" s="35">
        <v>0</v>
      </c>
      <c r="Z61" s="35"/>
      <c r="AA61" s="35"/>
      <c r="AB61" s="35">
        <v>0</v>
      </c>
      <c r="AC61" s="35">
        <v>0</v>
      </c>
      <c r="AD61" s="35">
        <v>0</v>
      </c>
      <c r="AE61" s="35">
        <v>0</v>
      </c>
      <c r="AF61" s="35"/>
      <c r="AG61" s="35"/>
      <c r="AH61" s="35"/>
      <c r="AI61" s="35"/>
      <c r="AJ61" s="35">
        <v>109.95</v>
      </c>
      <c r="AK61" s="35">
        <v>124548</v>
      </c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>
        <v>0</v>
      </c>
      <c r="BC61" s="35">
        <v>0</v>
      </c>
      <c r="BD61" s="36"/>
      <c r="BE61" s="37"/>
      <c r="BF61" s="37"/>
      <c r="BG61" s="13">
        <f t="shared" si="0"/>
        <v>1213753</v>
      </c>
      <c r="BH61" s="38"/>
      <c r="BI61" s="38"/>
      <c r="BJ61" s="33"/>
      <c r="BK61" s="33"/>
      <c r="BL61" s="33"/>
      <c r="BM61" s="13"/>
      <c r="BN61" s="33">
        <v>101106</v>
      </c>
      <c r="BO61" s="33">
        <v>12137</v>
      </c>
      <c r="BP61" s="33">
        <v>101106</v>
      </c>
      <c r="BQ61" s="33"/>
      <c r="BR61" s="33">
        <v>39060</v>
      </c>
      <c r="BS61" s="13">
        <f t="shared" si="9"/>
        <v>253409</v>
      </c>
      <c r="BT61" s="33">
        <v>130705</v>
      </c>
      <c r="BU61" s="33">
        <v>26533</v>
      </c>
      <c r="BV61" s="33">
        <v>43568</v>
      </c>
      <c r="BW61" s="33"/>
      <c r="BX61" s="13">
        <f t="shared" si="14"/>
        <v>200806</v>
      </c>
      <c r="BY61" s="39">
        <v>100453</v>
      </c>
      <c r="BZ61" s="39">
        <v>0</v>
      </c>
      <c r="CA61" s="33"/>
      <c r="CB61" s="33"/>
      <c r="CC61" s="33"/>
      <c r="CD61" s="33"/>
      <c r="CE61" s="33"/>
      <c r="CF61" s="33"/>
      <c r="CG61" s="33"/>
      <c r="CH61" s="40"/>
      <c r="CI61" s="33"/>
      <c r="CJ61" s="14">
        <v>114947</v>
      </c>
      <c r="CK61" s="33">
        <v>35783.991999999998</v>
      </c>
      <c r="CL61" s="33">
        <v>1883368</v>
      </c>
      <c r="CM61" s="33">
        <f t="shared" si="22"/>
        <v>1768421</v>
      </c>
      <c r="CN61" s="33">
        <v>35783.991999999998</v>
      </c>
      <c r="CO61" s="31"/>
      <c r="CP61" s="31"/>
      <c r="CQ61" s="31"/>
      <c r="CR61" s="31"/>
      <c r="CS61" s="31"/>
      <c r="CT61" s="31"/>
      <c r="CU61" s="59">
        <f t="shared" si="21"/>
        <v>1919151.9920000001</v>
      </c>
    </row>
    <row r="62" spans="1:99" s="16" customFormat="1" ht="15.75" x14ac:dyDescent="0.2">
      <c r="A62" s="57" t="s">
        <v>188</v>
      </c>
      <c r="B62" s="42">
        <v>6134723</v>
      </c>
      <c r="C62" s="33" t="s">
        <v>163</v>
      </c>
      <c r="D62" s="43"/>
      <c r="E62" s="43" t="s">
        <v>58</v>
      </c>
      <c r="F62" s="41" t="s">
        <v>223</v>
      </c>
      <c r="G62" s="41"/>
      <c r="H62" s="44">
        <v>2.44</v>
      </c>
      <c r="I62" s="51">
        <v>109.95</v>
      </c>
      <c r="J62" s="35">
        <v>900000</v>
      </c>
      <c r="K62" s="34"/>
      <c r="L62" s="35"/>
      <c r="M62" s="35"/>
      <c r="N62" s="35"/>
      <c r="O62" s="35"/>
      <c r="P62" s="35">
        <v>0</v>
      </c>
      <c r="Q62" s="35">
        <v>0</v>
      </c>
      <c r="R62" s="34">
        <v>17.5</v>
      </c>
      <c r="S62" s="35">
        <v>178977</v>
      </c>
      <c r="T62" s="35">
        <v>0</v>
      </c>
      <c r="U62" s="35">
        <v>0</v>
      </c>
      <c r="V62" s="34">
        <v>0</v>
      </c>
      <c r="W62" s="35">
        <v>0</v>
      </c>
      <c r="X62" s="35">
        <v>0</v>
      </c>
      <c r="Y62" s="35">
        <v>0</v>
      </c>
      <c r="Z62" s="35"/>
      <c r="AA62" s="35"/>
      <c r="AB62" s="35">
        <v>0</v>
      </c>
      <c r="AC62" s="35">
        <v>0</v>
      </c>
      <c r="AD62" s="35">
        <v>0</v>
      </c>
      <c r="AE62" s="35">
        <v>0</v>
      </c>
      <c r="AF62" s="35"/>
      <c r="AG62" s="35"/>
      <c r="AH62" s="35"/>
      <c r="AI62" s="35"/>
      <c r="AJ62" s="35">
        <v>109.95</v>
      </c>
      <c r="AK62" s="35">
        <v>124548</v>
      </c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>
        <v>0</v>
      </c>
      <c r="BC62" s="35">
        <v>0</v>
      </c>
      <c r="BD62" s="36"/>
      <c r="BE62" s="37"/>
      <c r="BF62" s="37"/>
      <c r="BG62" s="13">
        <f t="shared" si="0"/>
        <v>1203525</v>
      </c>
      <c r="BH62" s="38"/>
      <c r="BI62" s="38"/>
      <c r="BJ62" s="33"/>
      <c r="BK62" s="33"/>
      <c r="BL62" s="33"/>
      <c r="BM62" s="13"/>
      <c r="BN62" s="33">
        <v>100254</v>
      </c>
      <c r="BO62" s="33">
        <v>12035</v>
      </c>
      <c r="BP62" s="33">
        <v>100254</v>
      </c>
      <c r="BQ62" s="33"/>
      <c r="BR62" s="33">
        <v>39060</v>
      </c>
      <c r="BS62" s="13">
        <f t="shared" si="9"/>
        <v>251603</v>
      </c>
      <c r="BT62" s="33">
        <v>129477</v>
      </c>
      <c r="BU62" s="33">
        <v>26284</v>
      </c>
      <c r="BV62" s="33">
        <v>43159</v>
      </c>
      <c r="BW62" s="33"/>
      <c r="BX62" s="13">
        <f t="shared" si="14"/>
        <v>198920</v>
      </c>
      <c r="BY62" s="39">
        <v>125000</v>
      </c>
      <c r="BZ62" s="39">
        <v>0</v>
      </c>
      <c r="CA62" s="33"/>
      <c r="CB62" s="33"/>
      <c r="CC62" s="33"/>
      <c r="CD62" s="33"/>
      <c r="CE62" s="33"/>
      <c r="CF62" s="33"/>
      <c r="CG62" s="33"/>
      <c r="CH62" s="40"/>
      <c r="CI62" s="33"/>
      <c r="CJ62" s="14">
        <v>115639</v>
      </c>
      <c r="CK62" s="33">
        <v>35999.053</v>
      </c>
      <c r="CL62" s="33">
        <v>1894687</v>
      </c>
      <c r="CM62" s="33">
        <f t="shared" si="22"/>
        <v>1779048</v>
      </c>
      <c r="CN62" s="33">
        <v>35999.053</v>
      </c>
      <c r="CO62" s="31"/>
      <c r="CP62" s="31"/>
      <c r="CQ62" s="31"/>
      <c r="CR62" s="31"/>
      <c r="CS62" s="31"/>
      <c r="CT62" s="31"/>
      <c r="CU62" s="59">
        <f t="shared" si="21"/>
        <v>1930686.0530000001</v>
      </c>
    </row>
    <row r="63" spans="1:99" s="16" customFormat="1" ht="15.75" x14ac:dyDescent="0.2">
      <c r="A63" s="57" t="s">
        <v>188</v>
      </c>
      <c r="B63" s="42">
        <v>1107845825</v>
      </c>
      <c r="C63" s="33" t="s">
        <v>164</v>
      </c>
      <c r="D63" s="43"/>
      <c r="E63" s="43" t="s">
        <v>58</v>
      </c>
      <c r="F63" s="41" t="s">
        <v>224</v>
      </c>
      <c r="G63" s="41"/>
      <c r="H63" s="44">
        <v>2.44</v>
      </c>
      <c r="I63" s="51">
        <v>109.95</v>
      </c>
      <c r="J63" s="35">
        <v>875453</v>
      </c>
      <c r="K63" s="34"/>
      <c r="L63" s="35"/>
      <c r="M63" s="35"/>
      <c r="N63" s="35"/>
      <c r="O63" s="35"/>
      <c r="P63" s="35">
        <v>0</v>
      </c>
      <c r="Q63" s="35">
        <v>0</v>
      </c>
      <c r="R63" s="34">
        <v>18.5</v>
      </c>
      <c r="S63" s="35">
        <v>184044</v>
      </c>
      <c r="T63" s="35">
        <v>0</v>
      </c>
      <c r="U63" s="35">
        <v>0</v>
      </c>
      <c r="V63" s="34">
        <v>0</v>
      </c>
      <c r="W63" s="35">
        <v>0</v>
      </c>
      <c r="X63" s="35">
        <v>0</v>
      </c>
      <c r="Y63" s="35">
        <v>0</v>
      </c>
      <c r="Z63" s="35"/>
      <c r="AA63" s="35"/>
      <c r="AB63" s="35">
        <v>0</v>
      </c>
      <c r="AC63" s="35">
        <v>0</v>
      </c>
      <c r="AD63" s="35">
        <v>0</v>
      </c>
      <c r="AE63" s="35">
        <v>0</v>
      </c>
      <c r="AF63" s="35"/>
      <c r="AG63" s="35"/>
      <c r="AH63" s="35"/>
      <c r="AI63" s="35"/>
      <c r="AJ63" s="35">
        <v>109.95</v>
      </c>
      <c r="AK63" s="35">
        <v>124548</v>
      </c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>
        <v>0</v>
      </c>
      <c r="BC63" s="35">
        <v>0</v>
      </c>
      <c r="BD63" s="36"/>
      <c r="BE63" s="37"/>
      <c r="BF63" s="37"/>
      <c r="BG63" s="13">
        <f t="shared" si="0"/>
        <v>1184045</v>
      </c>
      <c r="BH63" s="38"/>
      <c r="BI63" s="38"/>
      <c r="BJ63" s="33"/>
      <c r="BK63" s="33"/>
      <c r="BL63" s="33"/>
      <c r="BM63" s="13"/>
      <c r="BN63" s="33">
        <v>98631</v>
      </c>
      <c r="BO63" s="33">
        <v>11840</v>
      </c>
      <c r="BP63" s="33">
        <v>98631</v>
      </c>
      <c r="BQ63" s="33"/>
      <c r="BR63" s="33">
        <v>37995</v>
      </c>
      <c r="BS63" s="13">
        <f t="shared" si="9"/>
        <v>247097</v>
      </c>
      <c r="BT63" s="33">
        <v>127139</v>
      </c>
      <c r="BU63" s="33">
        <v>25809</v>
      </c>
      <c r="BV63" s="33">
        <v>42380</v>
      </c>
      <c r="BW63" s="33"/>
      <c r="BX63" s="13">
        <f t="shared" si="14"/>
        <v>195328</v>
      </c>
      <c r="BY63" s="39">
        <v>35000</v>
      </c>
      <c r="BZ63" s="39">
        <v>0</v>
      </c>
      <c r="CA63" s="33"/>
      <c r="CB63" s="33"/>
      <c r="CC63" s="33"/>
      <c r="CD63" s="33"/>
      <c r="CE63" s="33"/>
      <c r="CF63" s="33"/>
      <c r="CG63" s="33"/>
      <c r="CH63" s="40"/>
      <c r="CI63" s="33"/>
      <c r="CJ63" s="14">
        <v>107996</v>
      </c>
      <c r="CK63" s="33">
        <v>33619.853999999999</v>
      </c>
      <c r="CL63" s="33">
        <v>1769466</v>
      </c>
      <c r="CM63" s="33">
        <f t="shared" si="22"/>
        <v>1661470</v>
      </c>
      <c r="CN63" s="33">
        <v>33619.853999999999</v>
      </c>
      <c r="CO63" s="31"/>
      <c r="CP63" s="31"/>
      <c r="CQ63" s="31"/>
      <c r="CR63" s="31"/>
      <c r="CS63" s="31"/>
      <c r="CT63" s="31"/>
      <c r="CU63" s="59">
        <f t="shared" si="21"/>
        <v>1803085.8540000001</v>
      </c>
    </row>
    <row r="64" spans="1:99" s="16" customFormat="1" ht="15.75" x14ac:dyDescent="0.2">
      <c r="A64" s="57" t="s">
        <v>188</v>
      </c>
      <c r="B64" s="42">
        <v>1143995691</v>
      </c>
      <c r="C64" s="33" t="s">
        <v>165</v>
      </c>
      <c r="D64" s="43"/>
      <c r="E64" s="43" t="s">
        <v>58</v>
      </c>
      <c r="F64" s="41" t="s">
        <v>225</v>
      </c>
      <c r="G64" s="41"/>
      <c r="H64" s="44">
        <v>0.52</v>
      </c>
      <c r="I64" s="51">
        <v>109.95</v>
      </c>
      <c r="J64" s="35">
        <v>1000000</v>
      </c>
      <c r="K64" s="34"/>
      <c r="L64" s="35"/>
      <c r="M64" s="35"/>
      <c r="N64" s="35"/>
      <c r="O64" s="35"/>
      <c r="P64" s="35">
        <v>0</v>
      </c>
      <c r="Q64" s="35">
        <v>0</v>
      </c>
      <c r="R64" s="34">
        <v>0</v>
      </c>
      <c r="S64" s="35">
        <v>0</v>
      </c>
      <c r="T64" s="35">
        <v>0</v>
      </c>
      <c r="U64" s="35">
        <v>0</v>
      </c>
      <c r="V64" s="34">
        <v>0</v>
      </c>
      <c r="W64" s="35">
        <v>0</v>
      </c>
      <c r="X64" s="35">
        <v>0</v>
      </c>
      <c r="Y64" s="35">
        <v>0</v>
      </c>
      <c r="Z64" s="35"/>
      <c r="AA64" s="35"/>
      <c r="AB64" s="35">
        <v>0</v>
      </c>
      <c r="AC64" s="35">
        <v>0</v>
      </c>
      <c r="AD64" s="35">
        <v>0</v>
      </c>
      <c r="AE64" s="35">
        <v>0</v>
      </c>
      <c r="AF64" s="35"/>
      <c r="AG64" s="35"/>
      <c r="AH64" s="35"/>
      <c r="AI64" s="35"/>
      <c r="AJ64" s="35">
        <v>109.95</v>
      </c>
      <c r="AK64" s="35">
        <v>124548</v>
      </c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>
        <v>0</v>
      </c>
      <c r="BC64" s="35">
        <v>0</v>
      </c>
      <c r="BD64" s="36"/>
      <c r="BE64" s="37"/>
      <c r="BF64" s="37"/>
      <c r="BG64" s="13">
        <f t="shared" si="0"/>
        <v>1124548</v>
      </c>
      <c r="BH64" s="38"/>
      <c r="BI64" s="38"/>
      <c r="BJ64" s="33"/>
      <c r="BK64" s="33"/>
      <c r="BL64" s="33"/>
      <c r="BM64" s="13"/>
      <c r="BN64" s="33">
        <v>93675</v>
      </c>
      <c r="BO64" s="33">
        <v>11245</v>
      </c>
      <c r="BP64" s="33">
        <v>93675</v>
      </c>
      <c r="BQ64" s="33"/>
      <c r="BR64" s="33">
        <v>43400</v>
      </c>
      <c r="BS64" s="13">
        <f t="shared" si="9"/>
        <v>241995</v>
      </c>
      <c r="BT64" s="33">
        <v>120000</v>
      </c>
      <c r="BU64" s="33">
        <v>5220</v>
      </c>
      <c r="BV64" s="33">
        <v>40000</v>
      </c>
      <c r="BW64" s="33"/>
      <c r="BX64" s="13">
        <f t="shared" si="14"/>
        <v>165220</v>
      </c>
      <c r="BY64" s="39">
        <v>175453</v>
      </c>
      <c r="BZ64" s="39">
        <v>0</v>
      </c>
      <c r="CA64" s="33"/>
      <c r="CB64" s="33"/>
      <c r="CC64" s="33"/>
      <c r="CD64" s="33"/>
      <c r="CE64" s="33"/>
      <c r="CF64" s="33"/>
      <c r="CG64" s="33"/>
      <c r="CH64" s="40"/>
      <c r="CI64" s="33"/>
      <c r="CJ64" s="14">
        <v>110969</v>
      </c>
      <c r="CK64" s="33">
        <v>34545.514999999999</v>
      </c>
      <c r="CL64" s="33">
        <v>1818185</v>
      </c>
      <c r="CM64" s="33">
        <f t="shared" si="22"/>
        <v>1707216</v>
      </c>
      <c r="CN64" s="33">
        <v>34545.514999999999</v>
      </c>
      <c r="CO64" s="31"/>
      <c r="CP64" s="31"/>
      <c r="CQ64" s="31"/>
      <c r="CR64" s="31"/>
      <c r="CS64" s="31"/>
      <c r="CT64" s="31"/>
      <c r="CU64" s="59">
        <f t="shared" si="21"/>
        <v>1852730.5149999999</v>
      </c>
    </row>
    <row r="65" spans="1:99" s="16" customFormat="1" ht="15.75" x14ac:dyDescent="0.2">
      <c r="A65" s="57" t="s">
        <v>188</v>
      </c>
      <c r="B65" s="42">
        <v>1006054574</v>
      </c>
      <c r="C65" s="33" t="s">
        <v>166</v>
      </c>
      <c r="D65" s="43"/>
      <c r="E65" s="43" t="s">
        <v>58</v>
      </c>
      <c r="F65" s="41" t="s">
        <v>226</v>
      </c>
      <c r="G65" s="41" t="s">
        <v>227</v>
      </c>
      <c r="H65" s="44">
        <v>0.52</v>
      </c>
      <c r="I65" s="51">
        <v>0</v>
      </c>
      <c r="J65" s="35"/>
      <c r="K65" s="34"/>
      <c r="L65" s="35"/>
      <c r="M65" s="35"/>
      <c r="N65" s="35"/>
      <c r="O65" s="35"/>
      <c r="P65" s="35">
        <v>0</v>
      </c>
      <c r="Q65" s="35">
        <v>0</v>
      </c>
      <c r="R65" s="34">
        <v>0</v>
      </c>
      <c r="S65" s="35">
        <v>0</v>
      </c>
      <c r="T65" s="35">
        <v>0</v>
      </c>
      <c r="U65" s="35">
        <v>0</v>
      </c>
      <c r="V65" s="34">
        <v>0</v>
      </c>
      <c r="W65" s="35">
        <v>0</v>
      </c>
      <c r="X65" s="35">
        <v>0</v>
      </c>
      <c r="Y65" s="35">
        <v>0</v>
      </c>
      <c r="Z65" s="35"/>
      <c r="AA65" s="35"/>
      <c r="AB65" s="35">
        <v>0</v>
      </c>
      <c r="AC65" s="35">
        <v>0</v>
      </c>
      <c r="AD65" s="35">
        <v>0</v>
      </c>
      <c r="AE65" s="35">
        <v>0</v>
      </c>
      <c r="AF65" s="35"/>
      <c r="AG65" s="35"/>
      <c r="AH65" s="35"/>
      <c r="AI65" s="35"/>
      <c r="AJ65" s="35">
        <v>0</v>
      </c>
      <c r="AK65" s="35">
        <v>0</v>
      </c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>
        <v>0</v>
      </c>
      <c r="BC65" s="35">
        <v>0</v>
      </c>
      <c r="BD65" s="36"/>
      <c r="BE65" s="37"/>
      <c r="BF65" s="37"/>
      <c r="BG65" s="13">
        <f t="shared" si="0"/>
        <v>0</v>
      </c>
      <c r="BH65" s="38"/>
      <c r="BI65" s="38"/>
      <c r="BJ65" s="33"/>
      <c r="BK65" s="33"/>
      <c r="BL65" s="33"/>
      <c r="BM65" s="13"/>
      <c r="BN65" s="33">
        <v>-44427</v>
      </c>
      <c r="BO65" s="33">
        <v>-5333</v>
      </c>
      <c r="BP65" s="33">
        <v>-44427</v>
      </c>
      <c r="BQ65" s="33"/>
      <c r="BR65" s="33">
        <v>-23147</v>
      </c>
      <c r="BS65" s="13">
        <f t="shared" si="9"/>
        <v>-117334</v>
      </c>
      <c r="BT65" s="33">
        <v>0</v>
      </c>
      <c r="BU65" s="33">
        <v>0</v>
      </c>
      <c r="BV65" s="33">
        <v>0</v>
      </c>
      <c r="BW65" s="33"/>
      <c r="BX65" s="13">
        <f t="shared" si="14"/>
        <v>0</v>
      </c>
      <c r="BY65" s="39">
        <v>0</v>
      </c>
      <c r="BZ65" s="39">
        <v>66426</v>
      </c>
      <c r="CA65" s="33"/>
      <c r="CB65" s="33"/>
      <c r="CC65" s="33"/>
      <c r="CD65" s="33"/>
      <c r="CE65" s="33"/>
      <c r="CF65" s="33"/>
      <c r="CG65" s="33"/>
      <c r="CH65" s="40"/>
      <c r="CI65" s="33"/>
      <c r="CJ65" s="14">
        <v>-37976</v>
      </c>
      <c r="CK65" s="33">
        <v>-11822.123</v>
      </c>
      <c r="CL65" s="33">
        <v>-622217</v>
      </c>
      <c r="CM65" s="33">
        <f t="shared" si="22"/>
        <v>-584241</v>
      </c>
      <c r="CN65" s="33">
        <v>-11822.123</v>
      </c>
      <c r="CO65" s="31"/>
      <c r="CP65" s="31"/>
      <c r="CQ65" s="31"/>
      <c r="CR65" s="31"/>
      <c r="CS65" s="31"/>
      <c r="CT65" s="31"/>
      <c r="CU65" s="59">
        <f t="shared" si="21"/>
        <v>-634039.12300000002</v>
      </c>
    </row>
    <row r="66" spans="1:99" s="16" customFormat="1" ht="15.75" x14ac:dyDescent="0.2">
      <c r="A66" s="57" t="s">
        <v>188</v>
      </c>
      <c r="B66" s="42">
        <v>1005706862</v>
      </c>
      <c r="C66" s="33" t="s">
        <v>167</v>
      </c>
      <c r="D66" s="43"/>
      <c r="E66" s="43" t="s">
        <v>58</v>
      </c>
      <c r="F66" s="41" t="s">
        <v>228</v>
      </c>
      <c r="G66" s="41"/>
      <c r="H66" s="44">
        <v>0.52</v>
      </c>
      <c r="I66" s="51">
        <v>109.95</v>
      </c>
      <c r="J66" s="35">
        <v>1000000</v>
      </c>
      <c r="K66" s="34"/>
      <c r="L66" s="35"/>
      <c r="M66" s="35"/>
      <c r="N66" s="35"/>
      <c r="O66" s="35"/>
      <c r="P66" s="35">
        <v>0</v>
      </c>
      <c r="Q66" s="35">
        <v>0</v>
      </c>
      <c r="R66" s="34">
        <v>0</v>
      </c>
      <c r="S66" s="35">
        <v>0</v>
      </c>
      <c r="T66" s="35">
        <v>0</v>
      </c>
      <c r="U66" s="35">
        <v>0</v>
      </c>
      <c r="V66" s="34">
        <v>0</v>
      </c>
      <c r="W66" s="35">
        <v>0</v>
      </c>
      <c r="X66" s="35">
        <v>0</v>
      </c>
      <c r="Y66" s="35">
        <v>0</v>
      </c>
      <c r="Z66" s="35"/>
      <c r="AA66" s="35"/>
      <c r="AB66" s="35">
        <v>0</v>
      </c>
      <c r="AC66" s="35">
        <v>0</v>
      </c>
      <c r="AD66" s="35">
        <v>0</v>
      </c>
      <c r="AE66" s="35">
        <v>0</v>
      </c>
      <c r="AF66" s="35"/>
      <c r="AG66" s="35"/>
      <c r="AH66" s="35"/>
      <c r="AI66" s="35"/>
      <c r="AJ66" s="35">
        <v>109.95</v>
      </c>
      <c r="AK66" s="35">
        <v>124548</v>
      </c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>
        <v>0</v>
      </c>
      <c r="BC66" s="35">
        <v>0</v>
      </c>
      <c r="BD66" s="36"/>
      <c r="BE66" s="37"/>
      <c r="BF66" s="37"/>
      <c r="BG66" s="13">
        <f t="shared" si="0"/>
        <v>1124548</v>
      </c>
      <c r="BH66" s="38"/>
      <c r="BI66" s="38"/>
      <c r="BJ66" s="33"/>
      <c r="BK66" s="33"/>
      <c r="BL66" s="33"/>
      <c r="BM66" s="13"/>
      <c r="BN66" s="33">
        <v>93675</v>
      </c>
      <c r="BO66" s="33">
        <v>11245</v>
      </c>
      <c r="BP66" s="33">
        <v>93675</v>
      </c>
      <c r="BQ66" s="33"/>
      <c r="BR66" s="33">
        <v>43400</v>
      </c>
      <c r="BS66" s="13">
        <f t="shared" si="9"/>
        <v>241995</v>
      </c>
      <c r="BT66" s="33">
        <v>120000</v>
      </c>
      <c r="BU66" s="33">
        <v>5220</v>
      </c>
      <c r="BV66" s="33">
        <v>40000</v>
      </c>
      <c r="BW66" s="33"/>
      <c r="BX66" s="13">
        <f t="shared" si="14"/>
        <v>165220</v>
      </c>
      <c r="BY66" s="39">
        <v>241753</v>
      </c>
      <c r="BZ66" s="39">
        <v>0</v>
      </c>
      <c r="CA66" s="33"/>
      <c r="CB66" s="33"/>
      <c r="CC66" s="33"/>
      <c r="CD66" s="33"/>
      <c r="CE66" s="33"/>
      <c r="CF66" s="33"/>
      <c r="CG66" s="33"/>
      <c r="CH66" s="40"/>
      <c r="CI66" s="33"/>
      <c r="CJ66" s="14">
        <v>115279</v>
      </c>
      <c r="CK66" s="33">
        <v>35887.104999999996</v>
      </c>
      <c r="CL66" s="33">
        <v>1888795</v>
      </c>
      <c r="CM66" s="33">
        <f t="shared" si="22"/>
        <v>1773516</v>
      </c>
      <c r="CN66" s="33">
        <v>35887.104999999996</v>
      </c>
      <c r="CO66" s="31"/>
      <c r="CP66" s="31"/>
      <c r="CQ66" s="31"/>
      <c r="CR66" s="31"/>
      <c r="CS66" s="31"/>
      <c r="CT66" s="31"/>
      <c r="CU66" s="59">
        <f t="shared" si="21"/>
        <v>1924682.105</v>
      </c>
    </row>
    <row r="67" spans="1:99" s="16" customFormat="1" ht="15.75" x14ac:dyDescent="0.2">
      <c r="A67" s="57" t="s">
        <v>188</v>
      </c>
      <c r="B67" s="42">
        <v>1086056754</v>
      </c>
      <c r="C67" s="33" t="s">
        <v>168</v>
      </c>
      <c r="D67" s="43"/>
      <c r="E67" s="43" t="s">
        <v>58</v>
      </c>
      <c r="F67" s="41" t="s">
        <v>229</v>
      </c>
      <c r="G67" s="41"/>
      <c r="H67" s="44">
        <v>6.96</v>
      </c>
      <c r="I67" s="51">
        <v>109.95</v>
      </c>
      <c r="J67" s="35">
        <v>875453</v>
      </c>
      <c r="K67" s="34"/>
      <c r="L67" s="35"/>
      <c r="M67" s="35"/>
      <c r="N67" s="35"/>
      <c r="O67" s="35"/>
      <c r="P67" s="35">
        <v>0</v>
      </c>
      <c r="Q67" s="35">
        <v>0</v>
      </c>
      <c r="R67" s="34">
        <v>0</v>
      </c>
      <c r="S67" s="35">
        <v>0</v>
      </c>
      <c r="T67" s="35">
        <v>0</v>
      </c>
      <c r="U67" s="35">
        <v>0</v>
      </c>
      <c r="V67" s="34">
        <v>0</v>
      </c>
      <c r="W67" s="35">
        <v>0</v>
      </c>
      <c r="X67" s="35">
        <v>0</v>
      </c>
      <c r="Y67" s="35">
        <v>0</v>
      </c>
      <c r="Z67" s="35"/>
      <c r="AA67" s="35"/>
      <c r="AB67" s="35">
        <v>0</v>
      </c>
      <c r="AC67" s="35">
        <v>0</v>
      </c>
      <c r="AD67" s="35">
        <v>0</v>
      </c>
      <c r="AE67" s="35">
        <v>0</v>
      </c>
      <c r="AF67" s="35"/>
      <c r="AG67" s="35"/>
      <c r="AH67" s="35"/>
      <c r="AI67" s="35"/>
      <c r="AJ67" s="35">
        <v>109.95</v>
      </c>
      <c r="AK67" s="35">
        <v>124548</v>
      </c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>
        <v>0</v>
      </c>
      <c r="BC67" s="35">
        <v>0</v>
      </c>
      <c r="BD67" s="36"/>
      <c r="BE67" s="37"/>
      <c r="BF67" s="37"/>
      <c r="BG67" s="13">
        <f t="shared" si="0"/>
        <v>1000001</v>
      </c>
      <c r="BH67" s="38"/>
      <c r="BI67" s="38"/>
      <c r="BJ67" s="33"/>
      <c r="BK67" s="33"/>
      <c r="BL67" s="33"/>
      <c r="BM67" s="13"/>
      <c r="BN67" s="33">
        <v>83300</v>
      </c>
      <c r="BO67" s="33">
        <v>10000</v>
      </c>
      <c r="BP67" s="33">
        <v>83300</v>
      </c>
      <c r="BQ67" s="33"/>
      <c r="BR67" s="33">
        <v>37995</v>
      </c>
      <c r="BS67" s="13">
        <f t="shared" si="9"/>
        <v>214595</v>
      </c>
      <c r="BT67" s="33">
        <v>105054</v>
      </c>
      <c r="BU67" s="33">
        <v>60932</v>
      </c>
      <c r="BV67" s="33">
        <v>35018</v>
      </c>
      <c r="BW67" s="33"/>
      <c r="BX67" s="13">
        <f t="shared" si="14"/>
        <v>201004</v>
      </c>
      <c r="BY67" s="39">
        <v>0</v>
      </c>
      <c r="BZ67" s="39">
        <v>0</v>
      </c>
      <c r="CA67" s="33"/>
      <c r="CB67" s="33"/>
      <c r="CC67" s="33"/>
      <c r="CD67" s="33"/>
      <c r="CE67" s="33"/>
      <c r="CF67" s="33"/>
      <c r="CG67" s="33"/>
      <c r="CH67" s="40"/>
      <c r="CI67" s="33"/>
      <c r="CJ67" s="14">
        <v>92014</v>
      </c>
      <c r="CK67" s="33">
        <v>28644.666000000001</v>
      </c>
      <c r="CL67" s="33">
        <v>1507614</v>
      </c>
      <c r="CM67" s="33">
        <f t="shared" si="22"/>
        <v>1415600</v>
      </c>
      <c r="CN67" s="33">
        <v>28644.666000000001</v>
      </c>
      <c r="CO67" s="31"/>
      <c r="CP67" s="31"/>
      <c r="CQ67" s="31"/>
      <c r="CR67" s="31"/>
      <c r="CS67" s="31"/>
      <c r="CT67" s="31"/>
      <c r="CU67" s="59">
        <f t="shared" si="21"/>
        <v>1536258.666</v>
      </c>
    </row>
    <row r="68" spans="1:99" s="16" customFormat="1" ht="15.75" x14ac:dyDescent="0.2">
      <c r="A68" s="57" t="s">
        <v>188</v>
      </c>
      <c r="B68" s="42">
        <v>1006341651</v>
      </c>
      <c r="C68" s="33" t="s">
        <v>169</v>
      </c>
      <c r="D68" s="43"/>
      <c r="E68" s="43" t="s">
        <v>58</v>
      </c>
      <c r="F68" s="41" t="s">
        <v>230</v>
      </c>
      <c r="G68" s="41"/>
      <c r="H68" s="44">
        <v>6.96</v>
      </c>
      <c r="I68" s="51">
        <v>109.95</v>
      </c>
      <c r="J68" s="35">
        <v>875453</v>
      </c>
      <c r="K68" s="34"/>
      <c r="L68" s="35"/>
      <c r="M68" s="35"/>
      <c r="N68" s="35"/>
      <c r="O68" s="35"/>
      <c r="P68" s="35">
        <v>0</v>
      </c>
      <c r="Q68" s="35">
        <v>0</v>
      </c>
      <c r="R68" s="34">
        <v>0</v>
      </c>
      <c r="S68" s="35">
        <v>0</v>
      </c>
      <c r="T68" s="35">
        <v>0</v>
      </c>
      <c r="U68" s="35">
        <v>0</v>
      </c>
      <c r="V68" s="34">
        <v>0</v>
      </c>
      <c r="W68" s="35">
        <v>0</v>
      </c>
      <c r="X68" s="35">
        <v>0</v>
      </c>
      <c r="Y68" s="35">
        <v>0</v>
      </c>
      <c r="Z68" s="35"/>
      <c r="AA68" s="35"/>
      <c r="AB68" s="35">
        <v>0</v>
      </c>
      <c r="AC68" s="35">
        <v>0</v>
      </c>
      <c r="AD68" s="35">
        <v>0</v>
      </c>
      <c r="AE68" s="35">
        <v>0</v>
      </c>
      <c r="AF68" s="35"/>
      <c r="AG68" s="35"/>
      <c r="AH68" s="35"/>
      <c r="AI68" s="35"/>
      <c r="AJ68" s="35">
        <v>109.95</v>
      </c>
      <c r="AK68" s="35">
        <v>124548</v>
      </c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>
        <v>0</v>
      </c>
      <c r="BC68" s="35">
        <v>0</v>
      </c>
      <c r="BD68" s="36"/>
      <c r="BE68" s="37"/>
      <c r="BF68" s="37"/>
      <c r="BG68" s="13">
        <f t="shared" si="0"/>
        <v>1000001</v>
      </c>
      <c r="BH68" s="38"/>
      <c r="BI68" s="38"/>
      <c r="BJ68" s="33"/>
      <c r="BK68" s="33"/>
      <c r="BL68" s="33"/>
      <c r="BM68" s="13"/>
      <c r="BN68" s="33">
        <v>83300</v>
      </c>
      <c r="BO68" s="33">
        <v>10000</v>
      </c>
      <c r="BP68" s="33">
        <v>83300</v>
      </c>
      <c r="BQ68" s="33"/>
      <c r="BR68" s="33">
        <v>37995</v>
      </c>
      <c r="BS68" s="13">
        <f t="shared" si="9"/>
        <v>214595</v>
      </c>
      <c r="BT68" s="33">
        <v>105054</v>
      </c>
      <c r="BU68" s="33">
        <v>60932</v>
      </c>
      <c r="BV68" s="33">
        <v>35018</v>
      </c>
      <c r="BW68" s="33"/>
      <c r="BX68" s="13">
        <f t="shared" si="14"/>
        <v>201004</v>
      </c>
      <c r="BY68" s="39">
        <v>0</v>
      </c>
      <c r="BZ68" s="39">
        <v>0</v>
      </c>
      <c r="CA68" s="33"/>
      <c r="CB68" s="33"/>
      <c r="CC68" s="33"/>
      <c r="CD68" s="33"/>
      <c r="CE68" s="33"/>
      <c r="CF68" s="33"/>
      <c r="CG68" s="33"/>
      <c r="CH68" s="40"/>
      <c r="CI68" s="33"/>
      <c r="CJ68" s="14">
        <v>92014</v>
      </c>
      <c r="CK68" s="33">
        <v>28644.666000000001</v>
      </c>
      <c r="CL68" s="33">
        <v>1507614</v>
      </c>
      <c r="CM68" s="33">
        <f t="shared" si="22"/>
        <v>1415600</v>
      </c>
      <c r="CN68" s="33">
        <v>28644.666000000001</v>
      </c>
      <c r="CO68" s="31"/>
      <c r="CP68" s="31"/>
      <c r="CQ68" s="31"/>
      <c r="CR68" s="31"/>
      <c r="CS68" s="31"/>
      <c r="CT68" s="31"/>
      <c r="CU68" s="59">
        <f t="shared" si="21"/>
        <v>1536258.666</v>
      </c>
    </row>
    <row r="69" spans="1:99" s="16" customFormat="1" ht="15.75" x14ac:dyDescent="0.2">
      <c r="A69" s="57" t="s">
        <v>188</v>
      </c>
      <c r="B69" s="42">
        <v>6550387</v>
      </c>
      <c r="C69" s="33" t="s">
        <v>170</v>
      </c>
      <c r="D69" s="43"/>
      <c r="E69" s="43" t="s">
        <v>58</v>
      </c>
      <c r="F69" s="41" t="s">
        <v>230</v>
      </c>
      <c r="G69" s="41"/>
      <c r="H69" s="44">
        <v>6.96</v>
      </c>
      <c r="I69" s="51">
        <v>102.62</v>
      </c>
      <c r="J69" s="35">
        <v>817116</v>
      </c>
      <c r="K69" s="34"/>
      <c r="L69" s="35"/>
      <c r="M69" s="35"/>
      <c r="N69" s="35"/>
      <c r="O69" s="35"/>
      <c r="P69" s="35">
        <v>0</v>
      </c>
      <c r="Q69" s="35">
        <v>0</v>
      </c>
      <c r="R69" s="34">
        <v>0</v>
      </c>
      <c r="S69" s="35">
        <v>0</v>
      </c>
      <c r="T69" s="35">
        <v>0</v>
      </c>
      <c r="U69" s="35">
        <v>0</v>
      </c>
      <c r="V69" s="34">
        <v>0</v>
      </c>
      <c r="W69" s="35">
        <v>0</v>
      </c>
      <c r="X69" s="35">
        <v>0</v>
      </c>
      <c r="Y69" s="35">
        <v>0</v>
      </c>
      <c r="Z69" s="35"/>
      <c r="AA69" s="35"/>
      <c r="AB69" s="35">
        <v>0</v>
      </c>
      <c r="AC69" s="35">
        <v>0</v>
      </c>
      <c r="AD69" s="35">
        <v>0</v>
      </c>
      <c r="AE69" s="35">
        <v>0</v>
      </c>
      <c r="AF69" s="35"/>
      <c r="AG69" s="35"/>
      <c r="AH69" s="35"/>
      <c r="AI69" s="35"/>
      <c r="AJ69" s="35">
        <v>102.62</v>
      </c>
      <c r="AK69" s="35">
        <v>116244</v>
      </c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>
        <v>0</v>
      </c>
      <c r="BC69" s="35">
        <v>0</v>
      </c>
      <c r="BD69" s="36"/>
      <c r="BE69" s="37"/>
      <c r="BF69" s="37"/>
      <c r="BG69" s="13">
        <f t="shared" si="0"/>
        <v>933360</v>
      </c>
      <c r="BH69" s="38"/>
      <c r="BI69" s="38"/>
      <c r="BJ69" s="33"/>
      <c r="BK69" s="33"/>
      <c r="BL69" s="33"/>
      <c r="BM69" s="13"/>
      <c r="BN69" s="33">
        <v>77749</v>
      </c>
      <c r="BO69" s="33">
        <v>9333</v>
      </c>
      <c r="BP69" s="33">
        <v>77749</v>
      </c>
      <c r="BQ69" s="33"/>
      <c r="BR69" s="33">
        <v>35463</v>
      </c>
      <c r="BS69" s="13">
        <f t="shared" si="9"/>
        <v>200294</v>
      </c>
      <c r="BT69" s="33">
        <v>105054</v>
      </c>
      <c r="BU69" s="33">
        <v>56871</v>
      </c>
      <c r="BV69" s="33">
        <v>32685</v>
      </c>
      <c r="BW69" s="33"/>
      <c r="BX69" s="13">
        <f t="shared" si="14"/>
        <v>194610</v>
      </c>
      <c r="BY69" s="39">
        <v>0</v>
      </c>
      <c r="BZ69" s="39">
        <v>0</v>
      </c>
      <c r="CA69" s="33"/>
      <c r="CB69" s="33"/>
      <c r="CC69" s="33"/>
      <c r="CD69" s="33"/>
      <c r="CE69" s="33"/>
      <c r="CF69" s="33"/>
      <c r="CG69" s="33"/>
      <c r="CH69" s="40"/>
      <c r="CI69" s="33"/>
      <c r="CJ69" s="14">
        <v>86338</v>
      </c>
      <c r="CK69" s="33">
        <v>26877.437999999998</v>
      </c>
      <c r="CL69" s="33">
        <v>1414602</v>
      </c>
      <c r="CM69" s="33">
        <f t="shared" si="22"/>
        <v>1328264</v>
      </c>
      <c r="CN69" s="33">
        <v>26877.437999999998</v>
      </c>
      <c r="CO69" s="31"/>
      <c r="CP69" s="31"/>
      <c r="CQ69" s="31"/>
      <c r="CR69" s="31"/>
      <c r="CS69" s="31"/>
      <c r="CT69" s="31"/>
      <c r="CU69" s="59">
        <f t="shared" si="21"/>
        <v>1441479.4380000001</v>
      </c>
    </row>
    <row r="70" spans="1:99" s="16" customFormat="1" ht="15.75" x14ac:dyDescent="0.2">
      <c r="A70" s="57" t="s">
        <v>188</v>
      </c>
      <c r="B70" s="42">
        <v>16866280</v>
      </c>
      <c r="C70" s="33" t="s">
        <v>171</v>
      </c>
      <c r="D70" s="43"/>
      <c r="E70" s="43" t="s">
        <v>58</v>
      </c>
      <c r="F70" s="41" t="s">
        <v>230</v>
      </c>
      <c r="G70" s="41"/>
      <c r="H70" s="44">
        <v>6.96</v>
      </c>
      <c r="I70" s="51">
        <v>109.95</v>
      </c>
      <c r="J70" s="35">
        <v>875453</v>
      </c>
      <c r="K70" s="34"/>
      <c r="L70" s="35"/>
      <c r="M70" s="35"/>
      <c r="N70" s="35"/>
      <c r="O70" s="35"/>
      <c r="P70" s="35">
        <v>0</v>
      </c>
      <c r="Q70" s="35">
        <v>0</v>
      </c>
      <c r="R70" s="34">
        <v>0</v>
      </c>
      <c r="S70" s="35">
        <v>0</v>
      </c>
      <c r="T70" s="35">
        <v>0</v>
      </c>
      <c r="U70" s="35">
        <v>0</v>
      </c>
      <c r="V70" s="34">
        <v>0</v>
      </c>
      <c r="W70" s="35">
        <v>0</v>
      </c>
      <c r="X70" s="35">
        <v>0</v>
      </c>
      <c r="Y70" s="35">
        <v>0</v>
      </c>
      <c r="Z70" s="35"/>
      <c r="AA70" s="35"/>
      <c r="AB70" s="35">
        <v>0</v>
      </c>
      <c r="AC70" s="35">
        <v>0</v>
      </c>
      <c r="AD70" s="35">
        <v>0</v>
      </c>
      <c r="AE70" s="35">
        <v>0</v>
      </c>
      <c r="AF70" s="35"/>
      <c r="AG70" s="35"/>
      <c r="AH70" s="35"/>
      <c r="AI70" s="35"/>
      <c r="AJ70" s="35">
        <v>109.95</v>
      </c>
      <c r="AK70" s="35">
        <v>124548</v>
      </c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>
        <v>0</v>
      </c>
      <c r="BC70" s="35">
        <v>0</v>
      </c>
      <c r="BD70" s="36"/>
      <c r="BE70" s="37"/>
      <c r="BF70" s="37"/>
      <c r="BG70" s="13">
        <f t="shared" si="0"/>
        <v>1000001</v>
      </c>
      <c r="BH70" s="38"/>
      <c r="BI70" s="38"/>
      <c r="BJ70" s="33"/>
      <c r="BK70" s="33"/>
      <c r="BL70" s="33"/>
      <c r="BM70" s="13"/>
      <c r="BN70" s="33">
        <v>83300</v>
      </c>
      <c r="BO70" s="33">
        <v>10000</v>
      </c>
      <c r="BP70" s="33">
        <v>83300</v>
      </c>
      <c r="BQ70" s="33"/>
      <c r="BR70" s="33">
        <v>37995</v>
      </c>
      <c r="BS70" s="13">
        <f t="shared" si="9"/>
        <v>214595</v>
      </c>
      <c r="BT70" s="33">
        <v>105054</v>
      </c>
      <c r="BU70" s="33">
        <v>60932</v>
      </c>
      <c r="BV70" s="33">
        <v>35018</v>
      </c>
      <c r="BW70" s="33"/>
      <c r="BX70" s="13">
        <f t="shared" si="14"/>
        <v>201004</v>
      </c>
      <c r="BY70" s="39">
        <v>0</v>
      </c>
      <c r="BZ70" s="39">
        <v>0</v>
      </c>
      <c r="CA70" s="33"/>
      <c r="CB70" s="33"/>
      <c r="CC70" s="33"/>
      <c r="CD70" s="33"/>
      <c r="CE70" s="33"/>
      <c r="CF70" s="33"/>
      <c r="CG70" s="33"/>
      <c r="CH70" s="40"/>
      <c r="CI70" s="33"/>
      <c r="CJ70" s="14">
        <v>92014</v>
      </c>
      <c r="CK70" s="33">
        <v>28644.666000000001</v>
      </c>
      <c r="CL70" s="33">
        <v>1507614</v>
      </c>
      <c r="CM70" s="33">
        <f t="shared" si="22"/>
        <v>1415600</v>
      </c>
      <c r="CN70" s="33">
        <v>28644.666000000001</v>
      </c>
      <c r="CO70" s="31"/>
      <c r="CP70" s="31"/>
      <c r="CQ70" s="31"/>
      <c r="CR70" s="31"/>
      <c r="CS70" s="31"/>
      <c r="CT70" s="31"/>
      <c r="CU70" s="59">
        <f t="shared" si="21"/>
        <v>1536258.666</v>
      </c>
    </row>
    <row r="71" spans="1:99" s="16" customFormat="1" ht="15.75" x14ac:dyDescent="0.2">
      <c r="A71" s="57" t="s">
        <v>188</v>
      </c>
      <c r="B71" s="42">
        <v>1112956969</v>
      </c>
      <c r="C71" s="33" t="s">
        <v>172</v>
      </c>
      <c r="D71" s="43"/>
      <c r="E71" s="43" t="s">
        <v>58</v>
      </c>
      <c r="F71" s="41" t="s">
        <v>231</v>
      </c>
      <c r="G71" s="41" t="s">
        <v>231</v>
      </c>
      <c r="H71" s="44">
        <v>6.96</v>
      </c>
      <c r="I71" s="51">
        <v>0</v>
      </c>
      <c r="J71" s="35">
        <v>58337</v>
      </c>
      <c r="K71" s="34"/>
      <c r="L71" s="35"/>
      <c r="M71" s="35"/>
      <c r="N71" s="35"/>
      <c r="O71" s="35"/>
      <c r="P71" s="35">
        <v>0</v>
      </c>
      <c r="Q71" s="35">
        <v>0</v>
      </c>
      <c r="R71" s="34">
        <v>0</v>
      </c>
      <c r="S71" s="35">
        <v>0</v>
      </c>
      <c r="T71" s="35">
        <v>0</v>
      </c>
      <c r="U71" s="35">
        <v>0</v>
      </c>
      <c r="V71" s="34">
        <v>0</v>
      </c>
      <c r="W71" s="35">
        <v>0</v>
      </c>
      <c r="X71" s="35">
        <v>0</v>
      </c>
      <c r="Y71" s="35">
        <v>0</v>
      </c>
      <c r="Z71" s="35"/>
      <c r="AA71" s="35"/>
      <c r="AB71" s="35">
        <v>0</v>
      </c>
      <c r="AC71" s="35">
        <v>0</v>
      </c>
      <c r="AD71" s="35">
        <v>0</v>
      </c>
      <c r="AE71" s="35">
        <v>0</v>
      </c>
      <c r="AF71" s="35"/>
      <c r="AG71" s="35"/>
      <c r="AH71" s="35"/>
      <c r="AI71" s="35"/>
      <c r="AJ71" s="35">
        <v>0</v>
      </c>
      <c r="AK71" s="35">
        <v>8303</v>
      </c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>
        <v>0</v>
      </c>
      <c r="BC71" s="35">
        <v>0</v>
      </c>
      <c r="BD71" s="36"/>
      <c r="BE71" s="37"/>
      <c r="BF71" s="37"/>
      <c r="BG71" s="13">
        <f t="shared" ref="BG71:BG98" si="23">+J71+Q71+L71+AK71+S71+U71+AI71+AM71+AO71+AQ71+AS71+AW71+BC71+M71+W71+Y71+AA71+AC71+AE71+AG71+O71+AU71+AY71+BA71</f>
        <v>66640</v>
      </c>
      <c r="BH71" s="38"/>
      <c r="BI71" s="38"/>
      <c r="BJ71" s="33"/>
      <c r="BK71" s="33"/>
      <c r="BL71" s="33"/>
      <c r="BM71" s="13"/>
      <c r="BN71" s="33">
        <v>5551</v>
      </c>
      <c r="BO71" s="33">
        <v>666</v>
      </c>
      <c r="BP71" s="33">
        <v>5551</v>
      </c>
      <c r="BQ71" s="33"/>
      <c r="BR71" s="33">
        <v>2532</v>
      </c>
      <c r="BS71" s="13">
        <f t="shared" ref="BS71:BS98" si="24">+BN71+BO71+BP71+BR71+BQ71</f>
        <v>14300</v>
      </c>
      <c r="BT71" s="33">
        <v>7000</v>
      </c>
      <c r="BU71" s="33">
        <v>4060</v>
      </c>
      <c r="BV71" s="33">
        <v>2333</v>
      </c>
      <c r="BW71" s="33"/>
      <c r="BX71" s="13">
        <f t="shared" ref="BX71:BX98" si="25">SUM(BT71:BV71)+BW71</f>
        <v>13393</v>
      </c>
      <c r="BY71" s="39">
        <v>0</v>
      </c>
      <c r="BZ71" s="39">
        <v>0</v>
      </c>
      <c r="CA71" s="33"/>
      <c r="CB71" s="33"/>
      <c r="CC71" s="33"/>
      <c r="CD71" s="33"/>
      <c r="CE71" s="33"/>
      <c r="CF71" s="33"/>
      <c r="CG71" s="33"/>
      <c r="CH71" s="40"/>
      <c r="CI71" s="33"/>
      <c r="CJ71" s="14">
        <v>6132</v>
      </c>
      <c r="CK71" s="33">
        <v>1908.835</v>
      </c>
      <c r="CL71" s="33">
        <v>100465</v>
      </c>
      <c r="CM71" s="33">
        <f t="shared" si="22"/>
        <v>94333</v>
      </c>
      <c r="CN71" s="33">
        <v>1908.835</v>
      </c>
      <c r="CO71" s="31"/>
      <c r="CP71" s="31"/>
      <c r="CQ71" s="31"/>
      <c r="CR71" s="31"/>
      <c r="CS71" s="31"/>
      <c r="CT71" s="31"/>
      <c r="CU71" s="59">
        <f t="shared" ref="CU71:CU85" si="26">(CJ71+CM71+CN71)</f>
        <v>102373.83500000001</v>
      </c>
    </row>
    <row r="72" spans="1:99" s="16" customFormat="1" ht="15.75" x14ac:dyDescent="0.2">
      <c r="A72" s="57" t="s">
        <v>188</v>
      </c>
      <c r="B72" s="42">
        <v>1144147857</v>
      </c>
      <c r="C72" s="33" t="s">
        <v>173</v>
      </c>
      <c r="D72" s="43"/>
      <c r="E72" s="43" t="s">
        <v>58</v>
      </c>
      <c r="F72" s="41" t="s">
        <v>232</v>
      </c>
      <c r="G72" s="41"/>
      <c r="H72" s="44">
        <v>6.96</v>
      </c>
      <c r="I72" s="51">
        <v>109.95</v>
      </c>
      <c r="J72" s="35">
        <v>875453</v>
      </c>
      <c r="K72" s="34"/>
      <c r="L72" s="35"/>
      <c r="M72" s="35"/>
      <c r="N72" s="35"/>
      <c r="O72" s="35"/>
      <c r="P72" s="35">
        <v>0</v>
      </c>
      <c r="Q72" s="35">
        <v>0</v>
      </c>
      <c r="R72" s="34">
        <v>8</v>
      </c>
      <c r="S72" s="35">
        <v>79587</v>
      </c>
      <c r="T72" s="35">
        <v>0</v>
      </c>
      <c r="U72" s="35">
        <v>0</v>
      </c>
      <c r="V72" s="34">
        <v>0</v>
      </c>
      <c r="W72" s="35">
        <v>0</v>
      </c>
      <c r="X72" s="35">
        <v>0</v>
      </c>
      <c r="Y72" s="35">
        <v>0</v>
      </c>
      <c r="Z72" s="35"/>
      <c r="AA72" s="35"/>
      <c r="AB72" s="35">
        <v>0</v>
      </c>
      <c r="AC72" s="35">
        <v>0</v>
      </c>
      <c r="AD72" s="35">
        <v>0</v>
      </c>
      <c r="AE72" s="35">
        <v>0</v>
      </c>
      <c r="AF72" s="35"/>
      <c r="AG72" s="35"/>
      <c r="AH72" s="35"/>
      <c r="AI72" s="35"/>
      <c r="AJ72" s="35">
        <v>109.95</v>
      </c>
      <c r="AK72" s="35">
        <v>124548</v>
      </c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>
        <v>0</v>
      </c>
      <c r="BC72" s="35">
        <v>0</v>
      </c>
      <c r="BD72" s="36"/>
      <c r="BE72" s="37"/>
      <c r="BF72" s="37"/>
      <c r="BG72" s="13">
        <f t="shared" si="23"/>
        <v>1079588</v>
      </c>
      <c r="BH72" s="38"/>
      <c r="BI72" s="38"/>
      <c r="BJ72" s="33"/>
      <c r="BK72" s="33"/>
      <c r="BL72" s="33"/>
      <c r="BM72" s="13"/>
      <c r="BN72" s="33">
        <v>89930</v>
      </c>
      <c r="BO72" s="33">
        <v>10796</v>
      </c>
      <c r="BP72" s="33">
        <v>89930</v>
      </c>
      <c r="BQ72" s="33"/>
      <c r="BR72" s="33">
        <v>37995</v>
      </c>
      <c r="BS72" s="13">
        <f t="shared" si="24"/>
        <v>228651</v>
      </c>
      <c r="BT72" s="33">
        <v>114604</v>
      </c>
      <c r="BU72" s="33">
        <v>66471</v>
      </c>
      <c r="BV72" s="33">
        <v>38201</v>
      </c>
      <c r="BW72" s="33"/>
      <c r="BX72" s="13">
        <f t="shared" si="25"/>
        <v>219276</v>
      </c>
      <c r="BY72" s="39">
        <v>250000</v>
      </c>
      <c r="BZ72" s="39">
        <v>0</v>
      </c>
      <c r="CA72" s="33"/>
      <c r="CB72" s="33"/>
      <c r="CC72" s="33"/>
      <c r="CD72" s="33"/>
      <c r="CE72" s="33"/>
      <c r="CF72" s="33"/>
      <c r="CG72" s="33"/>
      <c r="CH72" s="40"/>
      <c r="CI72" s="33"/>
      <c r="CJ72" s="14">
        <v>115539</v>
      </c>
      <c r="CK72" s="33">
        <v>35968.025999999998</v>
      </c>
      <c r="CL72" s="33">
        <v>1893054</v>
      </c>
      <c r="CM72" s="33">
        <f t="shared" si="22"/>
        <v>1777515</v>
      </c>
      <c r="CN72" s="33">
        <v>35968.025999999998</v>
      </c>
      <c r="CO72" s="31"/>
      <c r="CP72" s="31"/>
      <c r="CQ72" s="31"/>
      <c r="CR72" s="31"/>
      <c r="CS72" s="31"/>
      <c r="CT72" s="31"/>
      <c r="CU72" s="59">
        <f t="shared" si="26"/>
        <v>1929022.0260000001</v>
      </c>
    </row>
    <row r="73" spans="1:99" s="16" customFormat="1" ht="15.75" x14ac:dyDescent="0.2">
      <c r="A73" s="57" t="s">
        <v>188</v>
      </c>
      <c r="B73" s="42">
        <v>1007148257</v>
      </c>
      <c r="C73" s="33" t="s">
        <v>174</v>
      </c>
      <c r="D73" s="43"/>
      <c r="E73" s="43" t="s">
        <v>58</v>
      </c>
      <c r="F73" s="41" t="s">
        <v>233</v>
      </c>
      <c r="G73" s="41"/>
      <c r="H73" s="44">
        <v>2.44</v>
      </c>
      <c r="I73" s="51">
        <v>109.95</v>
      </c>
      <c r="J73" s="35">
        <v>875453</v>
      </c>
      <c r="K73" s="34"/>
      <c r="L73" s="35"/>
      <c r="M73" s="35"/>
      <c r="N73" s="35"/>
      <c r="O73" s="35"/>
      <c r="P73" s="35">
        <v>0</v>
      </c>
      <c r="Q73" s="35">
        <v>0</v>
      </c>
      <c r="R73" s="34">
        <v>0</v>
      </c>
      <c r="S73" s="35">
        <v>0</v>
      </c>
      <c r="T73" s="35">
        <v>0</v>
      </c>
      <c r="U73" s="35">
        <v>0</v>
      </c>
      <c r="V73" s="34">
        <v>0</v>
      </c>
      <c r="W73" s="35">
        <v>0</v>
      </c>
      <c r="X73" s="35">
        <v>0</v>
      </c>
      <c r="Y73" s="35">
        <v>0</v>
      </c>
      <c r="Z73" s="35"/>
      <c r="AA73" s="35"/>
      <c r="AB73" s="35">
        <v>0</v>
      </c>
      <c r="AC73" s="35">
        <v>0</v>
      </c>
      <c r="AD73" s="35">
        <v>0</v>
      </c>
      <c r="AE73" s="35">
        <v>0</v>
      </c>
      <c r="AF73" s="35"/>
      <c r="AG73" s="35"/>
      <c r="AH73" s="35"/>
      <c r="AI73" s="35"/>
      <c r="AJ73" s="35">
        <v>109.95</v>
      </c>
      <c r="AK73" s="35">
        <v>124548</v>
      </c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>
        <v>0</v>
      </c>
      <c r="BC73" s="35">
        <v>0</v>
      </c>
      <c r="BD73" s="36"/>
      <c r="BE73" s="37"/>
      <c r="BF73" s="37"/>
      <c r="BG73" s="13">
        <f t="shared" si="23"/>
        <v>1000001</v>
      </c>
      <c r="BH73" s="38"/>
      <c r="BI73" s="38"/>
      <c r="BJ73" s="33"/>
      <c r="BK73" s="33"/>
      <c r="BL73" s="33"/>
      <c r="BM73" s="13"/>
      <c r="BN73" s="33">
        <v>83300</v>
      </c>
      <c r="BO73" s="33">
        <v>10000</v>
      </c>
      <c r="BP73" s="33">
        <v>83300</v>
      </c>
      <c r="BQ73" s="33"/>
      <c r="BR73" s="33">
        <v>37995</v>
      </c>
      <c r="BS73" s="13">
        <f t="shared" si="24"/>
        <v>214595</v>
      </c>
      <c r="BT73" s="33">
        <v>105054</v>
      </c>
      <c r="BU73" s="33">
        <v>21326</v>
      </c>
      <c r="BV73" s="33">
        <v>35018</v>
      </c>
      <c r="BW73" s="33"/>
      <c r="BX73" s="13">
        <f t="shared" si="25"/>
        <v>161398</v>
      </c>
      <c r="BY73" s="39">
        <v>51000</v>
      </c>
      <c r="BZ73" s="39">
        <v>0</v>
      </c>
      <c r="CA73" s="33"/>
      <c r="CB73" s="33"/>
      <c r="CC73" s="33"/>
      <c r="CD73" s="33"/>
      <c r="CE73" s="33"/>
      <c r="CF73" s="33"/>
      <c r="CG73" s="33"/>
      <c r="CH73" s="40"/>
      <c r="CI73" s="33"/>
      <c r="CJ73" s="14">
        <v>92755</v>
      </c>
      <c r="CK73" s="33">
        <v>28875.231</v>
      </c>
      <c r="CL73" s="33">
        <v>1519749</v>
      </c>
      <c r="CM73" s="33">
        <f t="shared" si="22"/>
        <v>1426994</v>
      </c>
      <c r="CN73" s="33">
        <v>28875.231</v>
      </c>
      <c r="CO73" s="31"/>
      <c r="CP73" s="31"/>
      <c r="CQ73" s="31"/>
      <c r="CR73" s="31"/>
      <c r="CS73" s="31"/>
      <c r="CT73" s="31"/>
      <c r="CU73" s="59">
        <f t="shared" si="26"/>
        <v>1548624.2309999999</v>
      </c>
    </row>
    <row r="74" spans="1:99" s="16" customFormat="1" ht="15.75" x14ac:dyDescent="0.2">
      <c r="A74" s="57" t="s">
        <v>188</v>
      </c>
      <c r="B74" s="42">
        <v>1130668976</v>
      </c>
      <c r="C74" s="33" t="s">
        <v>175</v>
      </c>
      <c r="D74" s="43"/>
      <c r="E74" s="43" t="s">
        <v>58</v>
      </c>
      <c r="F74" s="41" t="s">
        <v>234</v>
      </c>
      <c r="G74" s="41"/>
      <c r="H74" s="44">
        <v>2.44</v>
      </c>
      <c r="I74" s="51">
        <v>109.95</v>
      </c>
      <c r="J74" s="35">
        <v>875453</v>
      </c>
      <c r="K74" s="34"/>
      <c r="L74" s="35"/>
      <c r="M74" s="35"/>
      <c r="N74" s="35"/>
      <c r="O74" s="35"/>
      <c r="P74" s="35">
        <v>0</v>
      </c>
      <c r="Q74" s="35">
        <v>0</v>
      </c>
      <c r="R74" s="34">
        <v>7.5</v>
      </c>
      <c r="S74" s="35">
        <v>74612</v>
      </c>
      <c r="T74" s="35">
        <v>0</v>
      </c>
      <c r="U74" s="35">
        <v>0</v>
      </c>
      <c r="V74" s="34">
        <v>0</v>
      </c>
      <c r="W74" s="35">
        <v>0</v>
      </c>
      <c r="X74" s="35">
        <v>0</v>
      </c>
      <c r="Y74" s="35">
        <v>0</v>
      </c>
      <c r="Z74" s="35"/>
      <c r="AA74" s="35"/>
      <c r="AB74" s="35">
        <v>7</v>
      </c>
      <c r="AC74" s="35">
        <v>100279</v>
      </c>
      <c r="AD74" s="35">
        <v>0</v>
      </c>
      <c r="AE74" s="35">
        <v>0</v>
      </c>
      <c r="AF74" s="35"/>
      <c r="AG74" s="35"/>
      <c r="AH74" s="35"/>
      <c r="AI74" s="35"/>
      <c r="AJ74" s="35">
        <v>109.95</v>
      </c>
      <c r="AK74" s="35">
        <v>124548</v>
      </c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>
        <v>0</v>
      </c>
      <c r="BC74" s="35">
        <v>0</v>
      </c>
      <c r="BD74" s="36"/>
      <c r="BE74" s="37"/>
      <c r="BF74" s="37"/>
      <c r="BG74" s="13">
        <f t="shared" si="23"/>
        <v>1174892</v>
      </c>
      <c r="BH74" s="38"/>
      <c r="BI74" s="38"/>
      <c r="BJ74" s="33"/>
      <c r="BK74" s="33"/>
      <c r="BL74" s="33"/>
      <c r="BM74" s="13"/>
      <c r="BN74" s="33">
        <v>97868</v>
      </c>
      <c r="BO74" s="33">
        <v>11749</v>
      </c>
      <c r="BP74" s="33">
        <v>97868</v>
      </c>
      <c r="BQ74" s="33"/>
      <c r="BR74" s="33">
        <v>37995</v>
      </c>
      <c r="BS74" s="13">
        <f t="shared" si="24"/>
        <v>245480</v>
      </c>
      <c r="BT74" s="33">
        <v>126040</v>
      </c>
      <c r="BU74" s="33">
        <v>25587</v>
      </c>
      <c r="BV74" s="33">
        <v>42013</v>
      </c>
      <c r="BW74" s="33"/>
      <c r="BX74" s="13">
        <f t="shared" si="25"/>
        <v>193640</v>
      </c>
      <c r="BY74" s="39">
        <v>100000</v>
      </c>
      <c r="BZ74" s="39">
        <v>0</v>
      </c>
      <c r="CA74" s="33"/>
      <c r="CB74" s="33"/>
      <c r="CC74" s="33"/>
      <c r="CD74" s="33"/>
      <c r="CE74" s="33"/>
      <c r="CF74" s="33"/>
      <c r="CG74" s="33"/>
      <c r="CH74" s="40"/>
      <c r="CI74" s="33"/>
      <c r="CJ74" s="14">
        <v>111411</v>
      </c>
      <c r="CK74" s="33">
        <v>34683.036999999997</v>
      </c>
      <c r="CL74" s="33">
        <v>1825423</v>
      </c>
      <c r="CM74" s="33">
        <f t="shared" si="22"/>
        <v>1714012</v>
      </c>
      <c r="CN74" s="33">
        <v>34683.036999999997</v>
      </c>
      <c r="CO74" s="31"/>
      <c r="CP74" s="31"/>
      <c r="CQ74" s="31"/>
      <c r="CR74" s="31"/>
      <c r="CS74" s="31"/>
      <c r="CT74" s="31"/>
      <c r="CU74" s="59">
        <f t="shared" si="26"/>
        <v>1860106.037</v>
      </c>
    </row>
    <row r="75" spans="1:99" s="16" customFormat="1" ht="15.75" x14ac:dyDescent="0.2">
      <c r="A75" s="57" t="s">
        <v>188</v>
      </c>
      <c r="B75" s="42">
        <v>94432204</v>
      </c>
      <c r="C75" s="33" t="s">
        <v>176</v>
      </c>
      <c r="D75" s="43"/>
      <c r="E75" s="43" t="s">
        <v>58</v>
      </c>
      <c r="F75" s="41" t="s">
        <v>212</v>
      </c>
      <c r="G75" s="41"/>
      <c r="H75" s="44">
        <v>2.44</v>
      </c>
      <c r="I75" s="51">
        <v>109.95</v>
      </c>
      <c r="J75" s="35">
        <v>875453</v>
      </c>
      <c r="K75" s="34"/>
      <c r="L75" s="35"/>
      <c r="M75" s="35"/>
      <c r="N75" s="35"/>
      <c r="O75" s="35"/>
      <c r="P75" s="35">
        <v>0</v>
      </c>
      <c r="Q75" s="35">
        <v>0</v>
      </c>
      <c r="R75" s="34">
        <v>7.5</v>
      </c>
      <c r="S75" s="35">
        <v>74612</v>
      </c>
      <c r="T75" s="35">
        <v>0</v>
      </c>
      <c r="U75" s="35">
        <v>0</v>
      </c>
      <c r="V75" s="34">
        <v>0</v>
      </c>
      <c r="W75" s="35">
        <v>0</v>
      </c>
      <c r="X75" s="35">
        <v>0</v>
      </c>
      <c r="Y75" s="35">
        <v>0</v>
      </c>
      <c r="Z75" s="35"/>
      <c r="AA75" s="35"/>
      <c r="AB75" s="35">
        <v>0</v>
      </c>
      <c r="AC75" s="35">
        <v>0</v>
      </c>
      <c r="AD75" s="35">
        <v>0</v>
      </c>
      <c r="AE75" s="35">
        <v>0</v>
      </c>
      <c r="AF75" s="35"/>
      <c r="AG75" s="35"/>
      <c r="AH75" s="35"/>
      <c r="AI75" s="35"/>
      <c r="AJ75" s="35">
        <v>109.95</v>
      </c>
      <c r="AK75" s="35">
        <v>124548</v>
      </c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>
        <v>0</v>
      </c>
      <c r="BC75" s="35">
        <v>0</v>
      </c>
      <c r="BD75" s="36"/>
      <c r="BE75" s="37"/>
      <c r="BF75" s="37"/>
      <c r="BG75" s="13">
        <f t="shared" si="23"/>
        <v>1074613</v>
      </c>
      <c r="BH75" s="38"/>
      <c r="BI75" s="38"/>
      <c r="BJ75" s="33"/>
      <c r="BK75" s="33"/>
      <c r="BL75" s="33"/>
      <c r="BM75" s="13"/>
      <c r="BN75" s="33">
        <v>89515</v>
      </c>
      <c r="BO75" s="33">
        <v>10746</v>
      </c>
      <c r="BP75" s="33">
        <v>89515</v>
      </c>
      <c r="BQ75" s="33"/>
      <c r="BR75" s="33">
        <v>37995</v>
      </c>
      <c r="BS75" s="13">
        <f t="shared" si="24"/>
        <v>227771</v>
      </c>
      <c r="BT75" s="33">
        <v>114007</v>
      </c>
      <c r="BU75" s="33">
        <v>23144</v>
      </c>
      <c r="BV75" s="33">
        <v>38002</v>
      </c>
      <c r="BW75" s="33"/>
      <c r="BX75" s="13">
        <f t="shared" si="25"/>
        <v>175153</v>
      </c>
      <c r="BY75" s="39">
        <v>225000</v>
      </c>
      <c r="BZ75" s="39">
        <v>0</v>
      </c>
      <c r="CA75" s="33"/>
      <c r="CB75" s="33"/>
      <c r="CC75" s="33"/>
      <c r="CD75" s="33"/>
      <c r="CE75" s="33"/>
      <c r="CF75" s="33"/>
      <c r="CG75" s="33"/>
      <c r="CH75" s="40"/>
      <c r="CI75" s="33"/>
      <c r="CJ75" s="14">
        <v>110665</v>
      </c>
      <c r="CK75" s="33">
        <v>34450.837999999996</v>
      </c>
      <c r="CL75" s="33">
        <v>1813202</v>
      </c>
      <c r="CM75" s="33">
        <f t="shared" si="22"/>
        <v>1702537</v>
      </c>
      <c r="CN75" s="33">
        <v>34450.837999999996</v>
      </c>
      <c r="CO75" s="31"/>
      <c r="CP75" s="31"/>
      <c r="CQ75" s="31"/>
      <c r="CR75" s="31"/>
      <c r="CS75" s="31"/>
      <c r="CT75" s="31"/>
      <c r="CU75" s="59">
        <f t="shared" si="26"/>
        <v>1847652.838</v>
      </c>
    </row>
    <row r="76" spans="1:99" s="16" customFormat="1" ht="15.75" x14ac:dyDescent="0.2">
      <c r="A76" s="57" t="s">
        <v>188</v>
      </c>
      <c r="B76" s="42">
        <v>1006097739</v>
      </c>
      <c r="C76" s="33" t="s">
        <v>177</v>
      </c>
      <c r="D76" s="43"/>
      <c r="E76" s="43" t="s">
        <v>58</v>
      </c>
      <c r="F76" s="41" t="s">
        <v>235</v>
      </c>
      <c r="G76" s="41"/>
      <c r="H76" s="44">
        <v>0.52</v>
      </c>
      <c r="I76" s="51">
        <v>109.95</v>
      </c>
      <c r="J76" s="35">
        <v>1000000</v>
      </c>
      <c r="K76" s="34"/>
      <c r="L76" s="35"/>
      <c r="M76" s="35"/>
      <c r="N76" s="35"/>
      <c r="O76" s="35"/>
      <c r="P76" s="35">
        <v>0</v>
      </c>
      <c r="Q76" s="35">
        <v>0</v>
      </c>
      <c r="R76" s="34">
        <v>0</v>
      </c>
      <c r="S76" s="35">
        <v>0</v>
      </c>
      <c r="T76" s="35">
        <v>0</v>
      </c>
      <c r="U76" s="35">
        <v>0</v>
      </c>
      <c r="V76" s="34">
        <v>0</v>
      </c>
      <c r="W76" s="35">
        <v>0</v>
      </c>
      <c r="X76" s="35">
        <v>0</v>
      </c>
      <c r="Y76" s="35">
        <v>0</v>
      </c>
      <c r="Z76" s="35"/>
      <c r="AA76" s="35"/>
      <c r="AB76" s="35">
        <v>0</v>
      </c>
      <c r="AC76" s="35">
        <v>0</v>
      </c>
      <c r="AD76" s="35">
        <v>0</v>
      </c>
      <c r="AE76" s="35">
        <v>0</v>
      </c>
      <c r="AF76" s="35"/>
      <c r="AG76" s="35"/>
      <c r="AH76" s="35"/>
      <c r="AI76" s="35"/>
      <c r="AJ76" s="35">
        <v>109.95</v>
      </c>
      <c r="AK76" s="35">
        <v>124548</v>
      </c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>
        <v>0</v>
      </c>
      <c r="BC76" s="35">
        <v>0</v>
      </c>
      <c r="BD76" s="36"/>
      <c r="BE76" s="37"/>
      <c r="BF76" s="37"/>
      <c r="BG76" s="13">
        <f t="shared" si="23"/>
        <v>1124548</v>
      </c>
      <c r="BH76" s="38"/>
      <c r="BI76" s="38"/>
      <c r="BJ76" s="33"/>
      <c r="BK76" s="33"/>
      <c r="BL76" s="33"/>
      <c r="BM76" s="13"/>
      <c r="BN76" s="33">
        <v>93675</v>
      </c>
      <c r="BO76" s="33">
        <v>11245</v>
      </c>
      <c r="BP76" s="33">
        <v>93675</v>
      </c>
      <c r="BQ76" s="33"/>
      <c r="BR76" s="33">
        <v>43400</v>
      </c>
      <c r="BS76" s="13">
        <f t="shared" si="24"/>
        <v>241995</v>
      </c>
      <c r="BT76" s="33">
        <v>120000</v>
      </c>
      <c r="BU76" s="33">
        <v>5220</v>
      </c>
      <c r="BV76" s="33">
        <v>40000</v>
      </c>
      <c r="BW76" s="33"/>
      <c r="BX76" s="13">
        <f t="shared" si="25"/>
        <v>165220</v>
      </c>
      <c r="BY76" s="39">
        <v>0</v>
      </c>
      <c r="BZ76" s="39">
        <v>0</v>
      </c>
      <c r="CA76" s="33"/>
      <c r="CB76" s="33"/>
      <c r="CC76" s="33"/>
      <c r="CD76" s="33"/>
      <c r="CE76" s="33"/>
      <c r="CF76" s="33"/>
      <c r="CG76" s="33"/>
      <c r="CH76" s="40"/>
      <c r="CI76" s="33"/>
      <c r="CJ76" s="14">
        <v>99565</v>
      </c>
      <c r="CK76" s="33">
        <v>30995.232</v>
      </c>
      <c r="CL76" s="33">
        <v>1631328</v>
      </c>
      <c r="CM76" s="33">
        <f t="shared" si="22"/>
        <v>1531763</v>
      </c>
      <c r="CN76" s="33">
        <v>30995.232</v>
      </c>
      <c r="CO76" s="31"/>
      <c r="CP76" s="31"/>
      <c r="CQ76" s="31"/>
      <c r="CR76" s="31"/>
      <c r="CS76" s="31"/>
      <c r="CT76" s="31"/>
      <c r="CU76" s="59">
        <f t="shared" si="26"/>
        <v>1662323.2320000001</v>
      </c>
    </row>
    <row r="77" spans="1:99" s="16" customFormat="1" ht="15.75" x14ac:dyDescent="0.2">
      <c r="A77" s="57" t="s">
        <v>188</v>
      </c>
      <c r="B77" s="42">
        <v>1111660682</v>
      </c>
      <c r="C77" s="33" t="s">
        <v>178</v>
      </c>
      <c r="D77" s="43"/>
      <c r="E77" s="43" t="s">
        <v>58</v>
      </c>
      <c r="F77" s="41" t="s">
        <v>236</v>
      </c>
      <c r="G77" s="41"/>
      <c r="H77" s="44">
        <v>6.96</v>
      </c>
      <c r="I77" s="51">
        <v>109.95</v>
      </c>
      <c r="J77" s="35">
        <v>975000</v>
      </c>
      <c r="K77" s="34"/>
      <c r="L77" s="35"/>
      <c r="M77" s="35"/>
      <c r="N77" s="35"/>
      <c r="O77" s="35"/>
      <c r="P77" s="35">
        <v>4</v>
      </c>
      <c r="Q77" s="35">
        <v>12409</v>
      </c>
      <c r="R77" s="34">
        <v>12.5</v>
      </c>
      <c r="S77" s="35">
        <v>138494</v>
      </c>
      <c r="T77" s="35">
        <v>0</v>
      </c>
      <c r="U77" s="35">
        <v>0</v>
      </c>
      <c r="V77" s="34">
        <v>3</v>
      </c>
      <c r="W77" s="35">
        <v>46534</v>
      </c>
      <c r="X77" s="35">
        <v>2</v>
      </c>
      <c r="Y77" s="35">
        <v>45205</v>
      </c>
      <c r="Z77" s="35"/>
      <c r="AA77" s="35"/>
      <c r="AB77" s="35">
        <v>12</v>
      </c>
      <c r="AC77" s="35">
        <v>191455</v>
      </c>
      <c r="AD77" s="35">
        <v>4</v>
      </c>
      <c r="AE77" s="35">
        <v>76227</v>
      </c>
      <c r="AF77" s="35"/>
      <c r="AG77" s="35"/>
      <c r="AH77" s="35"/>
      <c r="AI77" s="35"/>
      <c r="AJ77" s="35">
        <v>109.95</v>
      </c>
      <c r="AK77" s="35">
        <v>124548</v>
      </c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>
        <v>0</v>
      </c>
      <c r="BC77" s="35">
        <v>0</v>
      </c>
      <c r="BD77" s="36"/>
      <c r="BE77" s="37"/>
      <c r="BF77" s="37"/>
      <c r="BG77" s="13">
        <f t="shared" si="23"/>
        <v>1609872</v>
      </c>
      <c r="BH77" s="38"/>
      <c r="BI77" s="38"/>
      <c r="BJ77" s="33"/>
      <c r="BK77" s="33"/>
      <c r="BL77" s="33"/>
      <c r="BM77" s="13"/>
      <c r="BN77" s="33">
        <v>134104</v>
      </c>
      <c r="BO77" s="33">
        <v>16098</v>
      </c>
      <c r="BP77" s="33">
        <v>134104</v>
      </c>
      <c r="BQ77" s="33"/>
      <c r="BR77" s="33">
        <v>46162</v>
      </c>
      <c r="BS77" s="13">
        <f t="shared" si="24"/>
        <v>330468</v>
      </c>
      <c r="BT77" s="33">
        <v>178239</v>
      </c>
      <c r="BU77" s="33">
        <v>103378</v>
      </c>
      <c r="BV77" s="33">
        <v>59412</v>
      </c>
      <c r="BW77" s="33"/>
      <c r="BX77" s="13">
        <f t="shared" si="25"/>
        <v>341029</v>
      </c>
      <c r="BY77" s="39">
        <v>100000</v>
      </c>
      <c r="BZ77" s="39">
        <v>0</v>
      </c>
      <c r="CA77" s="33"/>
      <c r="CB77" s="33"/>
      <c r="CC77" s="33"/>
      <c r="CD77" s="33"/>
      <c r="CE77" s="33"/>
      <c r="CF77" s="33"/>
      <c r="CG77" s="33"/>
      <c r="CH77" s="40"/>
      <c r="CI77" s="33"/>
      <c r="CJ77" s="14">
        <v>154791</v>
      </c>
      <c r="CK77" s="33">
        <v>48187.040000000001</v>
      </c>
      <c r="CL77" s="33">
        <v>2536160</v>
      </c>
      <c r="CM77" s="33">
        <f t="shared" si="22"/>
        <v>2381369</v>
      </c>
      <c r="CN77" s="33">
        <v>48187.040000000001</v>
      </c>
      <c r="CO77" s="31"/>
      <c r="CP77" s="31"/>
      <c r="CQ77" s="31"/>
      <c r="CR77" s="31"/>
      <c r="CS77" s="31"/>
      <c r="CT77" s="31"/>
      <c r="CU77" s="59">
        <f t="shared" si="26"/>
        <v>2584347.04</v>
      </c>
    </row>
    <row r="78" spans="1:99" s="16" customFormat="1" ht="15.75" x14ac:dyDescent="0.2">
      <c r="A78" s="57" t="s">
        <v>188</v>
      </c>
      <c r="B78" s="42">
        <v>1005979469</v>
      </c>
      <c r="C78" s="33" t="s">
        <v>179</v>
      </c>
      <c r="D78" s="43"/>
      <c r="E78" s="43" t="s">
        <v>58</v>
      </c>
      <c r="F78" s="41" t="s">
        <v>237</v>
      </c>
      <c r="G78" s="41"/>
      <c r="H78" s="44">
        <v>6.96</v>
      </c>
      <c r="I78" s="51">
        <v>109.95</v>
      </c>
      <c r="J78" s="35">
        <v>975000</v>
      </c>
      <c r="K78" s="34"/>
      <c r="L78" s="35"/>
      <c r="M78" s="35"/>
      <c r="N78" s="35"/>
      <c r="O78" s="35"/>
      <c r="P78" s="35">
        <v>0</v>
      </c>
      <c r="Q78" s="35">
        <v>0</v>
      </c>
      <c r="R78" s="34">
        <v>9</v>
      </c>
      <c r="S78" s="35">
        <v>99716</v>
      </c>
      <c r="T78" s="35">
        <v>0</v>
      </c>
      <c r="U78" s="35">
        <v>0</v>
      </c>
      <c r="V78" s="34">
        <v>0</v>
      </c>
      <c r="W78" s="35">
        <v>0</v>
      </c>
      <c r="X78" s="35">
        <v>0</v>
      </c>
      <c r="Y78" s="35">
        <v>0</v>
      </c>
      <c r="Z78" s="35"/>
      <c r="AA78" s="35"/>
      <c r="AB78" s="35">
        <v>6</v>
      </c>
      <c r="AC78" s="35">
        <v>95727</v>
      </c>
      <c r="AD78" s="35">
        <v>0</v>
      </c>
      <c r="AE78" s="35">
        <v>0</v>
      </c>
      <c r="AF78" s="35"/>
      <c r="AG78" s="35"/>
      <c r="AH78" s="35"/>
      <c r="AI78" s="35"/>
      <c r="AJ78" s="35">
        <v>109.95</v>
      </c>
      <c r="AK78" s="35">
        <v>124548</v>
      </c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>
        <v>0</v>
      </c>
      <c r="BC78" s="35">
        <v>0</v>
      </c>
      <c r="BD78" s="36"/>
      <c r="BE78" s="37"/>
      <c r="BF78" s="37"/>
      <c r="BG78" s="13">
        <f t="shared" si="23"/>
        <v>1294991</v>
      </c>
      <c r="BH78" s="38"/>
      <c r="BI78" s="38"/>
      <c r="BJ78" s="33"/>
      <c r="BK78" s="33"/>
      <c r="BL78" s="33"/>
      <c r="BM78" s="13"/>
      <c r="BN78" s="33">
        <v>107873</v>
      </c>
      <c r="BO78" s="33">
        <v>12949</v>
      </c>
      <c r="BP78" s="33">
        <v>107873</v>
      </c>
      <c r="BQ78" s="33"/>
      <c r="BR78" s="33">
        <v>42315</v>
      </c>
      <c r="BS78" s="13">
        <f t="shared" si="24"/>
        <v>271010</v>
      </c>
      <c r="BT78" s="33">
        <v>140453</v>
      </c>
      <c r="BU78" s="33">
        <v>81463</v>
      </c>
      <c r="BV78" s="33">
        <v>46818</v>
      </c>
      <c r="BW78" s="33"/>
      <c r="BX78" s="13">
        <f t="shared" si="25"/>
        <v>268734</v>
      </c>
      <c r="BY78" s="39">
        <v>100000</v>
      </c>
      <c r="BZ78" s="39">
        <v>0</v>
      </c>
      <c r="CA78" s="33"/>
      <c r="CB78" s="33"/>
      <c r="CC78" s="33"/>
      <c r="CD78" s="33"/>
      <c r="CE78" s="33"/>
      <c r="CF78" s="33"/>
      <c r="CG78" s="33"/>
      <c r="CH78" s="40"/>
      <c r="CI78" s="33"/>
      <c r="CJ78" s="14">
        <v>125760</v>
      </c>
      <c r="CK78" s="33">
        <v>39149.404999999999</v>
      </c>
      <c r="CL78" s="33">
        <v>2060495</v>
      </c>
      <c r="CM78" s="33">
        <f t="shared" si="22"/>
        <v>1934735</v>
      </c>
      <c r="CN78" s="33">
        <v>39149.404999999999</v>
      </c>
      <c r="CO78" s="31"/>
      <c r="CP78" s="31"/>
      <c r="CQ78" s="31"/>
      <c r="CR78" s="31"/>
      <c r="CS78" s="31"/>
      <c r="CT78" s="31"/>
      <c r="CU78" s="59">
        <f t="shared" si="26"/>
        <v>2099644.4049999998</v>
      </c>
    </row>
    <row r="79" spans="1:99" s="16" customFormat="1" ht="15.75" x14ac:dyDescent="0.2">
      <c r="A79" s="57" t="s">
        <v>188</v>
      </c>
      <c r="B79" s="42">
        <v>16941118</v>
      </c>
      <c r="C79" s="33" t="s">
        <v>180</v>
      </c>
      <c r="D79" s="43"/>
      <c r="E79" s="43" t="s">
        <v>58</v>
      </c>
      <c r="F79" s="41" t="s">
        <v>191</v>
      </c>
      <c r="G79" s="41"/>
      <c r="H79" s="44">
        <v>1.04</v>
      </c>
      <c r="I79" s="51">
        <v>73.3</v>
      </c>
      <c r="J79" s="35">
        <v>1167333</v>
      </c>
      <c r="K79" s="34"/>
      <c r="L79" s="35"/>
      <c r="M79" s="35"/>
      <c r="N79" s="35"/>
      <c r="O79" s="35"/>
      <c r="P79" s="35">
        <v>0</v>
      </c>
      <c r="Q79" s="35">
        <v>0</v>
      </c>
      <c r="R79" s="34">
        <v>0</v>
      </c>
      <c r="S79" s="35">
        <v>0</v>
      </c>
      <c r="T79" s="35">
        <v>0</v>
      </c>
      <c r="U79" s="35">
        <v>0</v>
      </c>
      <c r="V79" s="34">
        <v>0</v>
      </c>
      <c r="W79" s="35">
        <v>0</v>
      </c>
      <c r="X79" s="35">
        <v>0</v>
      </c>
      <c r="Y79" s="35">
        <v>0</v>
      </c>
      <c r="Z79" s="35"/>
      <c r="AA79" s="35"/>
      <c r="AB79" s="35">
        <v>0</v>
      </c>
      <c r="AC79" s="35">
        <v>0</v>
      </c>
      <c r="AD79" s="35">
        <v>0</v>
      </c>
      <c r="AE79" s="35">
        <v>0</v>
      </c>
      <c r="AF79" s="35"/>
      <c r="AG79" s="35"/>
      <c r="AH79" s="35"/>
      <c r="AI79" s="35"/>
      <c r="AJ79" s="35"/>
      <c r="AK79" s="35">
        <v>0</v>
      </c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>
        <v>0</v>
      </c>
      <c r="BC79" s="35">
        <v>0</v>
      </c>
      <c r="BD79" s="36"/>
      <c r="BE79" s="37"/>
      <c r="BF79" s="37"/>
      <c r="BG79" s="13">
        <f t="shared" si="23"/>
        <v>1167333</v>
      </c>
      <c r="BH79" s="38"/>
      <c r="BI79" s="38"/>
      <c r="BJ79" s="33"/>
      <c r="BK79" s="33"/>
      <c r="BL79" s="33"/>
      <c r="BM79" s="13"/>
      <c r="BN79" s="33">
        <v>97239</v>
      </c>
      <c r="BO79" s="33">
        <v>11673</v>
      </c>
      <c r="BP79" s="33">
        <v>97239</v>
      </c>
      <c r="BQ79" s="33"/>
      <c r="BR79" s="33">
        <v>50662</v>
      </c>
      <c r="BS79" s="13">
        <f t="shared" si="24"/>
        <v>256813</v>
      </c>
      <c r="BT79" s="33">
        <v>140080</v>
      </c>
      <c r="BU79" s="33">
        <v>12187</v>
      </c>
      <c r="BV79" s="33">
        <v>46693</v>
      </c>
      <c r="BW79" s="33"/>
      <c r="BX79" s="13">
        <f t="shared" si="25"/>
        <v>198960</v>
      </c>
      <c r="BY79" s="39">
        <v>100000</v>
      </c>
      <c r="BZ79" s="39">
        <v>0</v>
      </c>
      <c r="CA79" s="33"/>
      <c r="CB79" s="33"/>
      <c r="CC79" s="33"/>
      <c r="CD79" s="33"/>
      <c r="CE79" s="33"/>
      <c r="CF79" s="33"/>
      <c r="CG79" s="33"/>
      <c r="CH79" s="40"/>
      <c r="CI79" s="33"/>
      <c r="CJ79" s="14">
        <v>112002</v>
      </c>
      <c r="CK79" s="33">
        <v>34867.051999999996</v>
      </c>
      <c r="CL79" s="33">
        <v>1835108</v>
      </c>
      <c r="CM79" s="33">
        <f t="shared" si="22"/>
        <v>1723106</v>
      </c>
      <c r="CN79" s="33">
        <v>34867.051999999996</v>
      </c>
      <c r="CO79" s="31"/>
      <c r="CP79" s="31"/>
      <c r="CQ79" s="31"/>
      <c r="CR79" s="31"/>
      <c r="CS79" s="31"/>
      <c r="CT79" s="31"/>
      <c r="CU79" s="59">
        <f t="shared" si="26"/>
        <v>1869975.0519999999</v>
      </c>
    </row>
    <row r="80" spans="1:99" s="16" customFormat="1" ht="15.75" x14ac:dyDescent="0.2">
      <c r="A80" s="57" t="s">
        <v>188</v>
      </c>
      <c r="B80" s="42">
        <v>10316292</v>
      </c>
      <c r="C80" s="33" t="s">
        <v>181</v>
      </c>
      <c r="D80" s="43"/>
      <c r="E80" s="43" t="s">
        <v>58</v>
      </c>
      <c r="F80" s="41" t="s">
        <v>209</v>
      </c>
      <c r="G80" s="41"/>
      <c r="H80" s="44">
        <v>2.44</v>
      </c>
      <c r="I80" s="51">
        <v>109.95</v>
      </c>
      <c r="J80" s="35">
        <v>875453</v>
      </c>
      <c r="K80" s="34"/>
      <c r="L80" s="35"/>
      <c r="M80" s="35"/>
      <c r="N80" s="35"/>
      <c r="O80" s="35"/>
      <c r="P80" s="35">
        <v>0</v>
      </c>
      <c r="Q80" s="35">
        <v>0</v>
      </c>
      <c r="R80" s="34">
        <v>0</v>
      </c>
      <c r="S80" s="35">
        <v>0</v>
      </c>
      <c r="T80" s="35">
        <v>0</v>
      </c>
      <c r="U80" s="35">
        <v>0</v>
      </c>
      <c r="V80" s="34">
        <v>0</v>
      </c>
      <c r="W80" s="35">
        <v>0</v>
      </c>
      <c r="X80" s="35">
        <v>0</v>
      </c>
      <c r="Y80" s="35">
        <v>0</v>
      </c>
      <c r="Z80" s="35"/>
      <c r="AA80" s="35"/>
      <c r="AB80" s="35">
        <v>0</v>
      </c>
      <c r="AC80" s="35">
        <v>0</v>
      </c>
      <c r="AD80" s="35">
        <v>0</v>
      </c>
      <c r="AE80" s="35">
        <v>0</v>
      </c>
      <c r="AF80" s="35"/>
      <c r="AG80" s="35"/>
      <c r="AH80" s="35"/>
      <c r="AI80" s="35"/>
      <c r="AJ80" s="35">
        <v>109.95</v>
      </c>
      <c r="AK80" s="35">
        <v>124548</v>
      </c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>
        <v>0</v>
      </c>
      <c r="BC80" s="35">
        <v>0</v>
      </c>
      <c r="BD80" s="36"/>
      <c r="BE80" s="37"/>
      <c r="BF80" s="37"/>
      <c r="BG80" s="13">
        <f t="shared" si="23"/>
        <v>1000001</v>
      </c>
      <c r="BH80" s="38"/>
      <c r="BI80" s="38"/>
      <c r="BJ80" s="33"/>
      <c r="BK80" s="33"/>
      <c r="BL80" s="33"/>
      <c r="BM80" s="13"/>
      <c r="BN80" s="33">
        <v>83300</v>
      </c>
      <c r="BO80" s="33">
        <v>10000</v>
      </c>
      <c r="BP80" s="33">
        <v>83300</v>
      </c>
      <c r="BQ80" s="33"/>
      <c r="BR80" s="33">
        <v>37995</v>
      </c>
      <c r="BS80" s="13">
        <f t="shared" si="24"/>
        <v>214595</v>
      </c>
      <c r="BT80" s="33">
        <v>105054</v>
      </c>
      <c r="BU80" s="33">
        <v>21326</v>
      </c>
      <c r="BV80" s="33">
        <v>35018</v>
      </c>
      <c r="BW80" s="33"/>
      <c r="BX80" s="13">
        <f t="shared" si="25"/>
        <v>161398</v>
      </c>
      <c r="BY80" s="39">
        <v>0</v>
      </c>
      <c r="BZ80" s="39">
        <v>0</v>
      </c>
      <c r="CA80" s="33"/>
      <c r="CB80" s="33"/>
      <c r="CC80" s="33"/>
      <c r="CD80" s="33"/>
      <c r="CE80" s="33"/>
      <c r="CF80" s="33"/>
      <c r="CG80" s="33"/>
      <c r="CH80" s="40"/>
      <c r="CI80" s="33"/>
      <c r="CJ80" s="14">
        <v>89440</v>
      </c>
      <c r="CK80" s="33">
        <v>27843.245999999999</v>
      </c>
      <c r="CL80" s="33">
        <v>1465434</v>
      </c>
      <c r="CM80" s="33">
        <f t="shared" si="22"/>
        <v>1375994</v>
      </c>
      <c r="CN80" s="33">
        <v>27843.245999999999</v>
      </c>
      <c r="CO80" s="31"/>
      <c r="CP80" s="31"/>
      <c r="CQ80" s="31"/>
      <c r="CR80" s="31"/>
      <c r="CS80" s="31"/>
      <c r="CT80" s="31"/>
      <c r="CU80" s="59">
        <f t="shared" si="26"/>
        <v>1493277.246</v>
      </c>
    </row>
    <row r="81" spans="1:103" s="16" customFormat="1" ht="15.75" x14ac:dyDescent="0.2">
      <c r="A81" s="57" t="s">
        <v>188</v>
      </c>
      <c r="B81" s="42">
        <v>1114879416</v>
      </c>
      <c r="C81" s="33" t="s">
        <v>182</v>
      </c>
      <c r="D81" s="43"/>
      <c r="E81" s="43" t="s">
        <v>58</v>
      </c>
      <c r="F81" s="41" t="s">
        <v>210</v>
      </c>
      <c r="G81" s="41"/>
      <c r="H81" s="44">
        <v>6.96</v>
      </c>
      <c r="I81" s="51">
        <v>14.66</v>
      </c>
      <c r="J81" s="35">
        <v>116727</v>
      </c>
      <c r="K81" s="34"/>
      <c r="L81" s="35"/>
      <c r="M81" s="35"/>
      <c r="N81" s="35"/>
      <c r="O81" s="35"/>
      <c r="P81" s="35">
        <v>0</v>
      </c>
      <c r="Q81" s="35">
        <v>0</v>
      </c>
      <c r="R81" s="34">
        <v>0</v>
      </c>
      <c r="S81" s="35">
        <v>0</v>
      </c>
      <c r="T81" s="35">
        <v>0</v>
      </c>
      <c r="U81" s="35">
        <v>0</v>
      </c>
      <c r="V81" s="34">
        <v>0</v>
      </c>
      <c r="W81" s="35">
        <v>0</v>
      </c>
      <c r="X81" s="35">
        <v>0</v>
      </c>
      <c r="Y81" s="35">
        <v>0</v>
      </c>
      <c r="Z81" s="35"/>
      <c r="AA81" s="35"/>
      <c r="AB81" s="35">
        <v>0</v>
      </c>
      <c r="AC81" s="35">
        <v>0</v>
      </c>
      <c r="AD81" s="35">
        <v>0</v>
      </c>
      <c r="AE81" s="35">
        <v>0</v>
      </c>
      <c r="AF81" s="35"/>
      <c r="AG81" s="35"/>
      <c r="AH81" s="35"/>
      <c r="AI81" s="35"/>
      <c r="AJ81" s="35">
        <v>14.66</v>
      </c>
      <c r="AK81" s="35">
        <v>16606</v>
      </c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>
        <v>0</v>
      </c>
      <c r="BC81" s="35">
        <v>0</v>
      </c>
      <c r="BD81" s="36"/>
      <c r="BE81" s="37"/>
      <c r="BF81" s="37"/>
      <c r="BG81" s="13">
        <f t="shared" si="23"/>
        <v>133333</v>
      </c>
      <c r="BH81" s="38"/>
      <c r="BI81" s="38"/>
      <c r="BJ81" s="33"/>
      <c r="BK81" s="33"/>
      <c r="BL81" s="33"/>
      <c r="BM81" s="13"/>
      <c r="BN81" s="33">
        <v>12489</v>
      </c>
      <c r="BO81" s="33">
        <v>1499</v>
      </c>
      <c r="BP81" s="33">
        <v>12489</v>
      </c>
      <c r="BQ81" s="33"/>
      <c r="BR81" s="33">
        <v>5066</v>
      </c>
      <c r="BS81" s="13">
        <f t="shared" si="24"/>
        <v>31543</v>
      </c>
      <c r="BT81" s="33">
        <v>14007</v>
      </c>
      <c r="BU81" s="33">
        <v>8124</v>
      </c>
      <c r="BV81" s="33">
        <v>4669</v>
      </c>
      <c r="BW81" s="33"/>
      <c r="BX81" s="13">
        <f t="shared" si="25"/>
        <v>26800</v>
      </c>
      <c r="BY81" s="39">
        <v>0</v>
      </c>
      <c r="BZ81" s="39">
        <v>0</v>
      </c>
      <c r="CA81" s="33"/>
      <c r="CB81" s="33"/>
      <c r="CC81" s="33"/>
      <c r="CD81" s="33"/>
      <c r="CE81" s="33"/>
      <c r="CF81" s="33"/>
      <c r="CG81" s="33"/>
      <c r="CH81" s="40"/>
      <c r="CI81" s="33"/>
      <c r="CJ81" s="14">
        <v>13538</v>
      </c>
      <c r="CK81" s="33">
        <v>4214.58</v>
      </c>
      <c r="CL81" s="33">
        <v>221820</v>
      </c>
      <c r="CM81" s="33">
        <f t="shared" si="22"/>
        <v>208282</v>
      </c>
      <c r="CN81" s="33">
        <v>4214.58</v>
      </c>
      <c r="CO81" s="31"/>
      <c r="CP81" s="31"/>
      <c r="CQ81" s="31"/>
      <c r="CR81" s="31"/>
      <c r="CS81" s="31"/>
      <c r="CT81" s="31"/>
      <c r="CU81" s="59">
        <f t="shared" si="26"/>
        <v>226034.58</v>
      </c>
    </row>
    <row r="82" spans="1:103" s="16" customFormat="1" ht="15.75" x14ac:dyDescent="0.2">
      <c r="A82" s="57" t="s">
        <v>188</v>
      </c>
      <c r="B82" s="42">
        <v>1144092933</v>
      </c>
      <c r="C82" s="33" t="s">
        <v>183</v>
      </c>
      <c r="D82" s="43"/>
      <c r="E82" s="43" t="s">
        <v>58</v>
      </c>
      <c r="F82" s="41" t="s">
        <v>238</v>
      </c>
      <c r="G82" s="41"/>
      <c r="H82" s="44">
        <v>0.52</v>
      </c>
      <c r="I82" s="51">
        <v>0</v>
      </c>
      <c r="J82" s="35">
        <v>0</v>
      </c>
      <c r="K82" s="34"/>
      <c r="L82" s="35"/>
      <c r="M82" s="35"/>
      <c r="N82" s="35"/>
      <c r="O82" s="35"/>
      <c r="P82" s="35">
        <v>0</v>
      </c>
      <c r="Q82" s="35">
        <v>0</v>
      </c>
      <c r="R82" s="34">
        <v>0</v>
      </c>
      <c r="S82" s="35">
        <v>0</v>
      </c>
      <c r="T82" s="35">
        <v>0</v>
      </c>
      <c r="U82" s="35">
        <v>0</v>
      </c>
      <c r="V82" s="34">
        <v>0</v>
      </c>
      <c r="W82" s="35">
        <v>0</v>
      </c>
      <c r="X82" s="35">
        <v>0</v>
      </c>
      <c r="Y82" s="35">
        <v>0</v>
      </c>
      <c r="Z82" s="35"/>
      <c r="AA82" s="35"/>
      <c r="AB82" s="35">
        <v>0</v>
      </c>
      <c r="AC82" s="35">
        <v>0</v>
      </c>
      <c r="AD82" s="35">
        <v>0</v>
      </c>
      <c r="AE82" s="35">
        <v>0</v>
      </c>
      <c r="AF82" s="35"/>
      <c r="AG82" s="35"/>
      <c r="AH82" s="35"/>
      <c r="AI82" s="35"/>
      <c r="AJ82" s="35">
        <v>0</v>
      </c>
      <c r="AK82" s="35">
        <v>0</v>
      </c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>
        <v>27</v>
      </c>
      <c r="BC82" s="35">
        <v>1517452</v>
      </c>
      <c r="BD82" s="36"/>
      <c r="BE82" s="37"/>
      <c r="BF82" s="37"/>
      <c r="BG82" s="13">
        <f t="shared" si="23"/>
        <v>1517452</v>
      </c>
      <c r="BH82" s="38"/>
      <c r="BI82" s="38"/>
      <c r="BJ82" s="33"/>
      <c r="BK82" s="33"/>
      <c r="BL82" s="33"/>
      <c r="BM82" s="13"/>
      <c r="BN82" s="33">
        <v>126404</v>
      </c>
      <c r="BO82" s="33">
        <v>15175</v>
      </c>
      <c r="BP82" s="33">
        <v>126404</v>
      </c>
      <c r="BQ82" s="33"/>
      <c r="BR82" s="33">
        <v>65858</v>
      </c>
      <c r="BS82" s="13">
        <f t="shared" si="24"/>
        <v>333841</v>
      </c>
      <c r="BT82" s="33">
        <v>182094</v>
      </c>
      <c r="BU82" s="33">
        <v>0</v>
      </c>
      <c r="BV82" s="33">
        <v>0</v>
      </c>
      <c r="BW82" s="33"/>
      <c r="BX82" s="13">
        <f t="shared" si="25"/>
        <v>182094</v>
      </c>
      <c r="BY82" s="39">
        <v>175453</v>
      </c>
      <c r="BZ82" s="39">
        <v>0</v>
      </c>
      <c r="CA82" s="33"/>
      <c r="CB82" s="33"/>
      <c r="CC82" s="33"/>
      <c r="CD82" s="33"/>
      <c r="CE82" s="33"/>
      <c r="CF82" s="33"/>
      <c r="CG82" s="33"/>
      <c r="CH82" s="40"/>
      <c r="CI82" s="33"/>
      <c r="CJ82" s="14">
        <v>143575</v>
      </c>
      <c r="CK82" s="33">
        <v>15864.297</v>
      </c>
      <c r="CL82" s="33">
        <v>834963</v>
      </c>
      <c r="CM82" s="33">
        <f t="shared" si="22"/>
        <v>691388</v>
      </c>
      <c r="CN82" s="33">
        <v>15864.297</v>
      </c>
      <c r="CO82" s="31"/>
      <c r="CP82" s="31"/>
      <c r="CQ82" s="31"/>
      <c r="CR82" s="31"/>
      <c r="CS82" s="31"/>
      <c r="CT82" s="31"/>
      <c r="CU82" s="59">
        <f t="shared" si="26"/>
        <v>850827.29700000002</v>
      </c>
    </row>
    <row r="83" spans="1:103" s="16" customFormat="1" ht="15.75" x14ac:dyDescent="0.2">
      <c r="A83" s="57" t="s">
        <v>188</v>
      </c>
      <c r="B83" s="42">
        <v>1193253149</v>
      </c>
      <c r="C83" s="33" t="s">
        <v>184</v>
      </c>
      <c r="D83" s="43"/>
      <c r="E83" s="43" t="s">
        <v>58</v>
      </c>
      <c r="F83" s="41" t="s">
        <v>239</v>
      </c>
      <c r="G83" s="41"/>
      <c r="H83" s="44">
        <v>0.52</v>
      </c>
      <c r="I83" s="51">
        <v>109.95</v>
      </c>
      <c r="J83" s="35">
        <v>925000</v>
      </c>
      <c r="K83" s="34"/>
      <c r="L83" s="35"/>
      <c r="M83" s="35"/>
      <c r="N83" s="35"/>
      <c r="O83" s="35"/>
      <c r="P83" s="35">
        <v>0</v>
      </c>
      <c r="Q83" s="35">
        <v>0</v>
      </c>
      <c r="R83" s="34">
        <v>0</v>
      </c>
      <c r="S83" s="35">
        <v>0</v>
      </c>
      <c r="T83" s="35">
        <v>0</v>
      </c>
      <c r="U83" s="35">
        <v>0</v>
      </c>
      <c r="V83" s="34">
        <v>0</v>
      </c>
      <c r="W83" s="35">
        <v>0</v>
      </c>
      <c r="X83" s="35">
        <v>0</v>
      </c>
      <c r="Y83" s="35">
        <v>0</v>
      </c>
      <c r="Z83" s="35"/>
      <c r="AA83" s="35"/>
      <c r="AB83" s="35">
        <v>0</v>
      </c>
      <c r="AC83" s="35">
        <v>0</v>
      </c>
      <c r="AD83" s="35">
        <v>0</v>
      </c>
      <c r="AE83" s="35">
        <v>0</v>
      </c>
      <c r="AF83" s="35"/>
      <c r="AG83" s="35"/>
      <c r="AH83" s="35"/>
      <c r="AI83" s="35"/>
      <c r="AJ83" s="35">
        <v>109.95</v>
      </c>
      <c r="AK83" s="35">
        <v>124548</v>
      </c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>
        <v>0</v>
      </c>
      <c r="BC83" s="35">
        <v>0</v>
      </c>
      <c r="BD83" s="36"/>
      <c r="BE83" s="37"/>
      <c r="BF83" s="37"/>
      <c r="BG83" s="13">
        <f t="shared" si="23"/>
        <v>1049548</v>
      </c>
      <c r="BH83" s="38"/>
      <c r="BI83" s="38"/>
      <c r="BJ83" s="33"/>
      <c r="BK83" s="33"/>
      <c r="BL83" s="33"/>
      <c r="BM83" s="13"/>
      <c r="BN83" s="33">
        <v>87428</v>
      </c>
      <c r="BO83" s="33">
        <v>10495</v>
      </c>
      <c r="BP83" s="33">
        <v>87428</v>
      </c>
      <c r="BQ83" s="33"/>
      <c r="BR83" s="33">
        <v>40145</v>
      </c>
      <c r="BS83" s="13">
        <f t="shared" si="24"/>
        <v>225496</v>
      </c>
      <c r="BT83" s="33">
        <v>111000</v>
      </c>
      <c r="BU83" s="33">
        <v>4829</v>
      </c>
      <c r="BV83" s="33">
        <v>37000</v>
      </c>
      <c r="BW83" s="33"/>
      <c r="BX83" s="13">
        <f t="shared" si="25"/>
        <v>152829</v>
      </c>
      <c r="BY83" s="39">
        <v>75000</v>
      </c>
      <c r="BZ83" s="39">
        <v>0</v>
      </c>
      <c r="CA83" s="33"/>
      <c r="CB83" s="33"/>
      <c r="CC83" s="33"/>
      <c r="CD83" s="33"/>
      <c r="CE83" s="33"/>
      <c r="CF83" s="33"/>
      <c r="CG83" s="33"/>
      <c r="CH83" s="40"/>
      <c r="CI83" s="33"/>
      <c r="CJ83" s="14">
        <v>97688</v>
      </c>
      <c r="CK83" s="33">
        <v>30410.659</v>
      </c>
      <c r="CL83" s="33">
        <v>1600561</v>
      </c>
      <c r="CM83" s="33">
        <f t="shared" si="22"/>
        <v>1502873</v>
      </c>
      <c r="CN83" s="33">
        <v>30410.659</v>
      </c>
      <c r="CO83" s="31"/>
      <c r="CP83" s="31"/>
      <c r="CQ83" s="31"/>
      <c r="CR83" s="31"/>
      <c r="CS83" s="31"/>
      <c r="CT83" s="31"/>
      <c r="CU83" s="59">
        <f t="shared" si="26"/>
        <v>1630971.659</v>
      </c>
    </row>
    <row r="84" spans="1:103" s="16" customFormat="1" ht="15.75" x14ac:dyDescent="0.2">
      <c r="A84" s="57" t="s">
        <v>188</v>
      </c>
      <c r="B84" s="42">
        <v>1144190671</v>
      </c>
      <c r="C84" s="33" t="s">
        <v>185</v>
      </c>
      <c r="D84" s="43"/>
      <c r="E84" s="43" t="s">
        <v>58</v>
      </c>
      <c r="F84" s="41" t="s">
        <v>240</v>
      </c>
      <c r="G84" s="41"/>
      <c r="H84" s="44">
        <v>0.52</v>
      </c>
      <c r="I84" s="51">
        <v>109.95</v>
      </c>
      <c r="J84" s="35">
        <v>900000</v>
      </c>
      <c r="K84" s="34"/>
      <c r="L84" s="35"/>
      <c r="M84" s="35"/>
      <c r="N84" s="35"/>
      <c r="O84" s="35"/>
      <c r="P84" s="35">
        <v>0</v>
      </c>
      <c r="Q84" s="35">
        <v>0</v>
      </c>
      <c r="R84" s="34">
        <v>0</v>
      </c>
      <c r="S84" s="35">
        <v>0</v>
      </c>
      <c r="T84" s="35">
        <v>0</v>
      </c>
      <c r="U84" s="35">
        <v>0</v>
      </c>
      <c r="V84" s="34">
        <v>0</v>
      </c>
      <c r="W84" s="35">
        <v>0</v>
      </c>
      <c r="X84" s="35">
        <v>0</v>
      </c>
      <c r="Y84" s="35">
        <v>0</v>
      </c>
      <c r="Z84" s="35"/>
      <c r="AA84" s="35"/>
      <c r="AB84" s="35">
        <v>0</v>
      </c>
      <c r="AC84" s="35">
        <v>0</v>
      </c>
      <c r="AD84" s="35">
        <v>0</v>
      </c>
      <c r="AE84" s="35">
        <v>0</v>
      </c>
      <c r="AF84" s="35"/>
      <c r="AG84" s="35"/>
      <c r="AH84" s="35"/>
      <c r="AI84" s="35"/>
      <c r="AJ84" s="35">
        <v>109.95</v>
      </c>
      <c r="AK84" s="35">
        <v>124548</v>
      </c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>
        <v>0</v>
      </c>
      <c r="BC84" s="35">
        <v>0</v>
      </c>
      <c r="BD84" s="36"/>
      <c r="BE84" s="37"/>
      <c r="BF84" s="37"/>
      <c r="BG84" s="13">
        <f t="shared" si="23"/>
        <v>1024548</v>
      </c>
      <c r="BH84" s="38"/>
      <c r="BI84" s="38"/>
      <c r="BJ84" s="33"/>
      <c r="BK84" s="33"/>
      <c r="BL84" s="33"/>
      <c r="BM84" s="13"/>
      <c r="BN84" s="33">
        <v>85345</v>
      </c>
      <c r="BO84" s="33">
        <v>10245</v>
      </c>
      <c r="BP84" s="33">
        <v>85345</v>
      </c>
      <c r="BQ84" s="33"/>
      <c r="BR84" s="33">
        <v>39060</v>
      </c>
      <c r="BS84" s="13">
        <f t="shared" si="24"/>
        <v>219995</v>
      </c>
      <c r="BT84" s="33">
        <v>108000</v>
      </c>
      <c r="BU84" s="33">
        <v>4698</v>
      </c>
      <c r="BV84" s="33">
        <v>36000</v>
      </c>
      <c r="BW84" s="33"/>
      <c r="BX84" s="13">
        <f t="shared" si="25"/>
        <v>148698</v>
      </c>
      <c r="BY84" s="39">
        <v>200000</v>
      </c>
      <c r="BZ84" s="39">
        <v>0</v>
      </c>
      <c r="CA84" s="33"/>
      <c r="CB84" s="33"/>
      <c r="CC84" s="33"/>
      <c r="CD84" s="33"/>
      <c r="CE84" s="33"/>
      <c r="CF84" s="33"/>
      <c r="CG84" s="33"/>
      <c r="CH84" s="40"/>
      <c r="CI84" s="33"/>
      <c r="CJ84" s="14">
        <v>103561</v>
      </c>
      <c r="CK84" s="33">
        <v>32239.237999999998</v>
      </c>
      <c r="CL84" s="33">
        <v>1696802</v>
      </c>
      <c r="CM84" s="33">
        <f t="shared" si="22"/>
        <v>1593241</v>
      </c>
      <c r="CN84" s="33">
        <v>32239.237999999998</v>
      </c>
      <c r="CO84" s="31"/>
      <c r="CP84" s="31"/>
      <c r="CQ84" s="31"/>
      <c r="CR84" s="31"/>
      <c r="CS84" s="31"/>
      <c r="CT84" s="31"/>
      <c r="CU84" s="59">
        <f t="shared" si="26"/>
        <v>1729041.2379999999</v>
      </c>
    </row>
    <row r="85" spans="1:103" s="16" customFormat="1" ht="15.75" x14ac:dyDescent="0.2">
      <c r="A85" s="57" t="s">
        <v>188</v>
      </c>
      <c r="B85" s="42">
        <v>1010041924</v>
      </c>
      <c r="C85" s="33" t="s">
        <v>186</v>
      </c>
      <c r="D85" s="43"/>
      <c r="E85" s="43" t="s">
        <v>58</v>
      </c>
      <c r="F85" s="41" t="s">
        <v>241</v>
      </c>
      <c r="G85" s="41"/>
      <c r="H85" s="44">
        <v>0.52</v>
      </c>
      <c r="I85" s="51">
        <v>109.95</v>
      </c>
      <c r="J85" s="35">
        <v>875453</v>
      </c>
      <c r="K85" s="34"/>
      <c r="L85" s="35"/>
      <c r="M85" s="35"/>
      <c r="N85" s="35"/>
      <c r="O85" s="35"/>
      <c r="P85" s="35">
        <v>0</v>
      </c>
      <c r="Q85" s="35">
        <v>0</v>
      </c>
      <c r="R85" s="34">
        <v>0</v>
      </c>
      <c r="S85" s="35">
        <v>0</v>
      </c>
      <c r="T85" s="35">
        <v>0</v>
      </c>
      <c r="U85" s="35">
        <v>0</v>
      </c>
      <c r="V85" s="34">
        <v>0</v>
      </c>
      <c r="W85" s="35">
        <v>0</v>
      </c>
      <c r="X85" s="35">
        <v>0</v>
      </c>
      <c r="Y85" s="35">
        <v>0</v>
      </c>
      <c r="Z85" s="35"/>
      <c r="AA85" s="35"/>
      <c r="AB85" s="35">
        <v>0</v>
      </c>
      <c r="AC85" s="35">
        <v>0</v>
      </c>
      <c r="AD85" s="35">
        <v>0</v>
      </c>
      <c r="AE85" s="35">
        <v>0</v>
      </c>
      <c r="AF85" s="35"/>
      <c r="AG85" s="35"/>
      <c r="AH85" s="35"/>
      <c r="AI85" s="35"/>
      <c r="AJ85" s="35">
        <v>109.95</v>
      </c>
      <c r="AK85" s="35">
        <v>124548</v>
      </c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>
        <v>0</v>
      </c>
      <c r="BC85" s="35">
        <v>0</v>
      </c>
      <c r="BD85" s="36"/>
      <c r="BE85" s="37"/>
      <c r="BF85" s="37"/>
      <c r="BG85" s="13">
        <f t="shared" si="23"/>
        <v>1000001</v>
      </c>
      <c r="BH85" s="38"/>
      <c r="BI85" s="38"/>
      <c r="BJ85" s="33"/>
      <c r="BK85" s="33"/>
      <c r="BL85" s="33"/>
      <c r="BM85" s="13"/>
      <c r="BN85" s="33">
        <v>83300</v>
      </c>
      <c r="BO85" s="33">
        <v>10000</v>
      </c>
      <c r="BP85" s="33">
        <v>83300</v>
      </c>
      <c r="BQ85" s="33"/>
      <c r="BR85" s="33">
        <v>37995</v>
      </c>
      <c r="BS85" s="13">
        <f t="shared" si="24"/>
        <v>214595</v>
      </c>
      <c r="BT85" s="33">
        <v>105054</v>
      </c>
      <c r="BU85" s="33">
        <v>4570</v>
      </c>
      <c r="BV85" s="33">
        <v>35018</v>
      </c>
      <c r="BW85" s="33"/>
      <c r="BX85" s="13">
        <f t="shared" si="25"/>
        <v>144642</v>
      </c>
      <c r="BY85" s="39">
        <v>0</v>
      </c>
      <c r="BZ85" s="39">
        <v>0</v>
      </c>
      <c r="CA85" s="33"/>
      <c r="CB85" s="33"/>
      <c r="CC85" s="33"/>
      <c r="CD85" s="33"/>
      <c r="CE85" s="33"/>
      <c r="CF85" s="33"/>
      <c r="CG85" s="33"/>
      <c r="CH85" s="40"/>
      <c r="CI85" s="33"/>
      <c r="CJ85" s="14">
        <v>88351</v>
      </c>
      <c r="CK85" s="33">
        <v>27504.190999999999</v>
      </c>
      <c r="CL85" s="33">
        <v>1447589</v>
      </c>
      <c r="CM85" s="33">
        <f t="shared" si="22"/>
        <v>1359238</v>
      </c>
      <c r="CN85" s="33">
        <v>27504.190999999999</v>
      </c>
      <c r="CO85" s="31"/>
      <c r="CP85" s="31"/>
      <c r="CQ85" s="31"/>
      <c r="CR85" s="31"/>
      <c r="CS85" s="31"/>
      <c r="CT85" s="31"/>
      <c r="CU85" s="59">
        <f t="shared" si="26"/>
        <v>1475093.1910000001</v>
      </c>
    </row>
    <row r="86" spans="1:103" s="16" customFormat="1" ht="15.75" x14ac:dyDescent="0.2">
      <c r="A86" s="58" t="s">
        <v>189</v>
      </c>
      <c r="B86" s="46">
        <v>1073327478</v>
      </c>
      <c r="C86" s="47" t="s">
        <v>242</v>
      </c>
      <c r="D86" s="48"/>
      <c r="E86" s="48" t="s">
        <v>58</v>
      </c>
      <c r="F86" s="49">
        <v>45818</v>
      </c>
      <c r="G86" s="49"/>
      <c r="H86" s="50" t="s">
        <v>255</v>
      </c>
      <c r="I86" s="51">
        <v>109.95</v>
      </c>
      <c r="J86" s="52">
        <v>875453</v>
      </c>
      <c r="K86" s="51"/>
      <c r="L86" s="52"/>
      <c r="M86" s="52"/>
      <c r="N86" s="52"/>
      <c r="O86" s="52"/>
      <c r="P86" s="52"/>
      <c r="Q86" s="52"/>
      <c r="R86" s="51"/>
      <c r="S86" s="52"/>
      <c r="T86" s="52"/>
      <c r="U86" s="52"/>
      <c r="V86" s="51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>
        <v>7</v>
      </c>
      <c r="BC86" s="52">
        <v>58363</v>
      </c>
      <c r="BD86" s="53"/>
      <c r="BE86" s="54"/>
      <c r="BF86" s="54"/>
      <c r="BG86" s="13">
        <f t="shared" si="23"/>
        <v>933816</v>
      </c>
      <c r="BH86" s="52"/>
      <c r="BI86" s="52"/>
      <c r="BJ86" s="47"/>
      <c r="BK86" s="47"/>
      <c r="BL86" s="47"/>
      <c r="BM86" s="55"/>
      <c r="BN86" s="47">
        <v>82638</v>
      </c>
      <c r="BO86" s="47">
        <v>9917</v>
      </c>
      <c r="BP86" s="47">
        <v>82638</v>
      </c>
      <c r="BQ86" s="47"/>
      <c r="BR86" s="47">
        <v>36480</v>
      </c>
      <c r="BS86" s="13">
        <f t="shared" si="24"/>
        <v>211673</v>
      </c>
      <c r="BT86" s="47">
        <v>105054</v>
      </c>
      <c r="BU86" s="47">
        <v>21326</v>
      </c>
      <c r="BV86" s="47">
        <v>36480</v>
      </c>
      <c r="BW86" s="47"/>
      <c r="BX86" s="13">
        <f t="shared" si="25"/>
        <v>162860</v>
      </c>
      <c r="BY86" s="47">
        <v>125000</v>
      </c>
      <c r="BZ86" s="47"/>
      <c r="CA86" s="47"/>
      <c r="CB86" s="47"/>
      <c r="CC86" s="47"/>
      <c r="CD86" s="47"/>
      <c r="CE86" s="47"/>
      <c r="CF86" s="47"/>
      <c r="CG86" s="47"/>
      <c r="CH86" s="53"/>
      <c r="CI86" s="47"/>
      <c r="CJ86" s="47">
        <v>82020</v>
      </c>
      <c r="CK86" s="47">
        <v>149123</v>
      </c>
      <c r="CL86" s="47">
        <v>1491230</v>
      </c>
      <c r="CM86" s="47">
        <v>1491230</v>
      </c>
      <c r="CN86" s="47">
        <v>28333.37</v>
      </c>
      <c r="CO86" s="56"/>
      <c r="CP86" s="56"/>
      <c r="CQ86" s="56"/>
      <c r="CR86" s="56"/>
      <c r="CS86" s="56"/>
      <c r="CT86" s="56"/>
      <c r="CU86" s="59">
        <f>(CJ86+CY86+CN86)</f>
        <v>1600092.1400000001</v>
      </c>
      <c r="CW86" s="16">
        <v>1491230</v>
      </c>
      <c r="CX86" s="16">
        <f>CW86*0.001</f>
        <v>1491.23</v>
      </c>
      <c r="CY86" s="16">
        <f>CW86-CX86</f>
        <v>1489738.77</v>
      </c>
    </row>
    <row r="87" spans="1:103" s="16" customFormat="1" ht="15.75" x14ac:dyDescent="0.2">
      <c r="A87" s="58" t="s">
        <v>189</v>
      </c>
      <c r="B87" s="42">
        <v>1110087940</v>
      </c>
      <c r="C87" s="33" t="s">
        <v>243</v>
      </c>
      <c r="D87" s="43"/>
      <c r="E87" s="43" t="s">
        <v>58</v>
      </c>
      <c r="F87" s="41">
        <v>45919</v>
      </c>
      <c r="G87" s="41"/>
      <c r="H87" s="44" t="s">
        <v>255</v>
      </c>
      <c r="I87" s="51">
        <v>109.95</v>
      </c>
      <c r="J87" s="35">
        <v>875453</v>
      </c>
      <c r="K87" s="34"/>
      <c r="L87" s="35"/>
      <c r="M87" s="35"/>
      <c r="N87" s="35"/>
      <c r="O87" s="35"/>
      <c r="P87" s="35"/>
      <c r="Q87" s="35"/>
      <c r="R87" s="34"/>
      <c r="S87" s="35"/>
      <c r="T87" s="35"/>
      <c r="U87" s="35"/>
      <c r="V87" s="34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  <c r="BE87" s="37"/>
      <c r="BF87" s="37"/>
      <c r="BG87" s="13">
        <f t="shared" si="23"/>
        <v>875453</v>
      </c>
      <c r="BH87" s="38"/>
      <c r="BI87" s="38"/>
      <c r="BJ87" s="33"/>
      <c r="BK87" s="33"/>
      <c r="BL87" s="33"/>
      <c r="BM87" s="13"/>
      <c r="BN87" s="33">
        <v>83330</v>
      </c>
      <c r="BO87" s="33">
        <v>10000</v>
      </c>
      <c r="BP87" s="33">
        <v>83330</v>
      </c>
      <c r="BQ87" s="33"/>
      <c r="BR87" s="33">
        <v>36480</v>
      </c>
      <c r="BS87" s="13">
        <f t="shared" si="24"/>
        <v>213140</v>
      </c>
      <c r="BT87" s="33">
        <v>105054</v>
      </c>
      <c r="BU87" s="33">
        <v>21326</v>
      </c>
      <c r="BV87" s="33">
        <v>36480</v>
      </c>
      <c r="BW87" s="33"/>
      <c r="BX87" s="13">
        <f t="shared" si="25"/>
        <v>162860</v>
      </c>
      <c r="BY87" s="39">
        <v>50000</v>
      </c>
      <c r="BZ87" s="39"/>
      <c r="CA87" s="33"/>
      <c r="CB87" s="33"/>
      <c r="CC87" s="33"/>
      <c r="CD87" s="33"/>
      <c r="CE87" s="33"/>
      <c r="CF87" s="33"/>
      <c r="CG87" s="33"/>
      <c r="CH87" s="40"/>
      <c r="CI87" s="33"/>
      <c r="CJ87" s="14">
        <v>78430</v>
      </c>
      <c r="CK87" s="47">
        <v>142600</v>
      </c>
      <c r="CL87" s="33">
        <v>1426000</v>
      </c>
      <c r="CM87" s="33">
        <v>1426000</v>
      </c>
      <c r="CN87" s="47">
        <v>27094</v>
      </c>
      <c r="CO87" s="31"/>
      <c r="CP87" s="31"/>
      <c r="CQ87" s="31"/>
      <c r="CR87" s="31"/>
      <c r="CS87" s="31"/>
      <c r="CT87" s="31"/>
      <c r="CU87" s="59">
        <f t="shared" ref="CU87:CU98" si="27">(CJ87+CY87+CN87)</f>
        <v>1530098</v>
      </c>
      <c r="CW87" s="16">
        <v>1426000</v>
      </c>
      <c r="CX87" s="16">
        <f t="shared" ref="CX87:CX98" si="28">CW87*0.001</f>
        <v>1426</v>
      </c>
      <c r="CY87" s="16">
        <f t="shared" ref="CY87:CY98" si="29">CW87-CX87</f>
        <v>1424574</v>
      </c>
    </row>
    <row r="88" spans="1:103" s="16" customFormat="1" ht="15.75" x14ac:dyDescent="0.2">
      <c r="A88" s="58" t="s">
        <v>189</v>
      </c>
      <c r="B88" s="42">
        <v>1130622429</v>
      </c>
      <c r="C88" s="33" t="s">
        <v>244</v>
      </c>
      <c r="D88" s="43"/>
      <c r="E88" s="43" t="s">
        <v>58</v>
      </c>
      <c r="F88" s="41">
        <v>45797</v>
      </c>
      <c r="G88" s="41"/>
      <c r="H88" s="44" t="s">
        <v>256</v>
      </c>
      <c r="I88" s="51">
        <v>109.95</v>
      </c>
      <c r="J88" s="35">
        <v>1000000</v>
      </c>
      <c r="K88" s="34"/>
      <c r="L88" s="35"/>
      <c r="M88" s="35"/>
      <c r="N88" s="35"/>
      <c r="O88" s="35"/>
      <c r="P88" s="35"/>
      <c r="Q88" s="35"/>
      <c r="R88" s="34"/>
      <c r="S88" s="35"/>
      <c r="T88" s="35"/>
      <c r="U88" s="35"/>
      <c r="V88" s="34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  <c r="BE88" s="37"/>
      <c r="BF88" s="37"/>
      <c r="BG88" s="13">
        <f t="shared" si="23"/>
        <v>1000000</v>
      </c>
      <c r="BH88" s="38"/>
      <c r="BI88" s="38"/>
      <c r="BJ88" s="33"/>
      <c r="BK88" s="33"/>
      <c r="BL88" s="33"/>
      <c r="BM88" s="13"/>
      <c r="BN88" s="33">
        <v>93709</v>
      </c>
      <c r="BO88" s="33">
        <v>11245</v>
      </c>
      <c r="BP88" s="33">
        <v>93709</v>
      </c>
      <c r="BQ88" s="33"/>
      <c r="BR88" s="33">
        <v>41670</v>
      </c>
      <c r="BS88" s="13">
        <f t="shared" si="24"/>
        <v>240333</v>
      </c>
      <c r="BT88" s="33">
        <v>120000</v>
      </c>
      <c r="BU88" s="33">
        <v>5220</v>
      </c>
      <c r="BV88" s="33">
        <v>41670</v>
      </c>
      <c r="BW88" s="33"/>
      <c r="BX88" s="13">
        <f t="shared" si="25"/>
        <v>166890</v>
      </c>
      <c r="BY88" s="39">
        <v>175453</v>
      </c>
      <c r="BZ88" s="39"/>
      <c r="CA88" s="33"/>
      <c r="CB88" s="33"/>
      <c r="CC88" s="33"/>
      <c r="CD88" s="33"/>
      <c r="CE88" s="33"/>
      <c r="CF88" s="33"/>
      <c r="CG88" s="33"/>
      <c r="CH88" s="40"/>
      <c r="CI88" s="33"/>
      <c r="CJ88" s="14">
        <v>93897</v>
      </c>
      <c r="CK88" s="47">
        <v>170722.30000000002</v>
      </c>
      <c r="CL88" s="33">
        <v>1707223</v>
      </c>
      <c r="CM88" s="33">
        <v>1707223</v>
      </c>
      <c r="CN88" s="47">
        <v>32437.237000000001</v>
      </c>
      <c r="CO88" s="31"/>
      <c r="CP88" s="31"/>
      <c r="CQ88" s="31"/>
      <c r="CR88" s="31"/>
      <c r="CS88" s="31"/>
      <c r="CT88" s="31"/>
      <c r="CU88" s="59">
        <f t="shared" si="27"/>
        <v>1831850.014</v>
      </c>
      <c r="CW88" s="16">
        <v>1707223</v>
      </c>
      <c r="CX88" s="16">
        <f t="shared" si="28"/>
        <v>1707.223</v>
      </c>
      <c r="CY88" s="16">
        <f t="shared" si="29"/>
        <v>1705515.777</v>
      </c>
    </row>
    <row r="89" spans="1:103" s="16" customFormat="1" ht="15.75" x14ac:dyDescent="0.2">
      <c r="A89" s="58" t="s">
        <v>189</v>
      </c>
      <c r="B89" s="42">
        <v>1108640554</v>
      </c>
      <c r="C89" s="33" t="s">
        <v>245</v>
      </c>
      <c r="D89" s="43"/>
      <c r="E89" s="43" t="s">
        <v>58</v>
      </c>
      <c r="F89" s="41">
        <v>45936</v>
      </c>
      <c r="G89" s="41"/>
      <c r="H89" s="44" t="s">
        <v>256</v>
      </c>
      <c r="I89" s="51">
        <v>109.95</v>
      </c>
      <c r="J89" s="35">
        <v>875453</v>
      </c>
      <c r="K89" s="34"/>
      <c r="L89" s="35"/>
      <c r="M89" s="35"/>
      <c r="N89" s="35"/>
      <c r="O89" s="35"/>
      <c r="P89" s="35"/>
      <c r="Q89" s="35"/>
      <c r="R89" s="34"/>
      <c r="S89" s="35"/>
      <c r="T89" s="35"/>
      <c r="U89" s="35"/>
      <c r="V89" s="34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  <c r="BE89" s="37"/>
      <c r="BF89" s="37"/>
      <c r="BG89" s="13">
        <f t="shared" si="23"/>
        <v>875453</v>
      </c>
      <c r="BH89" s="38"/>
      <c r="BI89" s="38"/>
      <c r="BJ89" s="33"/>
      <c r="BK89" s="33"/>
      <c r="BL89" s="33"/>
      <c r="BM89" s="13"/>
      <c r="BN89" s="33">
        <v>83330</v>
      </c>
      <c r="BO89" s="33">
        <v>10000</v>
      </c>
      <c r="BP89" s="33">
        <v>83330</v>
      </c>
      <c r="BQ89" s="33"/>
      <c r="BR89" s="33">
        <v>36480</v>
      </c>
      <c r="BS89" s="13">
        <f t="shared" si="24"/>
        <v>213140</v>
      </c>
      <c r="BT89" s="33">
        <v>105054</v>
      </c>
      <c r="BU89" s="33">
        <v>4570</v>
      </c>
      <c r="BV89" s="33">
        <v>36480</v>
      </c>
      <c r="BW89" s="33"/>
      <c r="BX89" s="13">
        <f t="shared" si="25"/>
        <v>146104</v>
      </c>
      <c r="BY89" s="39">
        <v>35000</v>
      </c>
      <c r="BZ89" s="39"/>
      <c r="CA89" s="33"/>
      <c r="CB89" s="33"/>
      <c r="CC89" s="33"/>
      <c r="CD89" s="33"/>
      <c r="CE89" s="33"/>
      <c r="CF89" s="33"/>
      <c r="CG89" s="33"/>
      <c r="CH89" s="40"/>
      <c r="CI89" s="33"/>
      <c r="CJ89" s="14">
        <v>76683</v>
      </c>
      <c r="CK89" s="47">
        <v>139424.4</v>
      </c>
      <c r="CL89" s="33">
        <v>1394244</v>
      </c>
      <c r="CM89" s="33">
        <v>1394244</v>
      </c>
      <c r="CN89" s="47">
        <v>26490.635999999999</v>
      </c>
      <c r="CO89" s="31"/>
      <c r="CP89" s="31"/>
      <c r="CQ89" s="31"/>
      <c r="CR89" s="31"/>
      <c r="CS89" s="31"/>
      <c r="CT89" s="31"/>
      <c r="CU89" s="59">
        <f t="shared" si="27"/>
        <v>1496023.392</v>
      </c>
      <c r="CW89" s="16">
        <v>1394244</v>
      </c>
      <c r="CX89" s="16">
        <f t="shared" si="28"/>
        <v>1394.2440000000001</v>
      </c>
      <c r="CY89" s="16">
        <f t="shared" si="29"/>
        <v>1392849.7560000001</v>
      </c>
    </row>
    <row r="90" spans="1:103" s="16" customFormat="1" ht="15.75" x14ac:dyDescent="0.2">
      <c r="A90" s="58" t="s">
        <v>189</v>
      </c>
      <c r="B90" s="42">
        <v>1007237855</v>
      </c>
      <c r="C90" s="33" t="s">
        <v>246</v>
      </c>
      <c r="D90" s="43"/>
      <c r="E90" s="43" t="s">
        <v>58</v>
      </c>
      <c r="F90" s="41">
        <v>45829</v>
      </c>
      <c r="G90" s="41"/>
      <c r="H90" s="44" t="s">
        <v>257</v>
      </c>
      <c r="I90" s="51">
        <v>109.95</v>
      </c>
      <c r="J90" s="35">
        <v>1000000</v>
      </c>
      <c r="K90" s="34"/>
      <c r="L90" s="35"/>
      <c r="M90" s="35"/>
      <c r="N90" s="35"/>
      <c r="O90" s="35"/>
      <c r="P90" s="35"/>
      <c r="Q90" s="35"/>
      <c r="R90" s="34">
        <v>34091</v>
      </c>
      <c r="S90" s="35">
        <v>3</v>
      </c>
      <c r="T90" s="35"/>
      <c r="U90" s="35"/>
      <c r="V90" s="34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  <c r="BE90" s="37"/>
      <c r="BF90" s="37"/>
      <c r="BG90" s="13">
        <f t="shared" si="23"/>
        <v>1000003</v>
      </c>
      <c r="BH90" s="38"/>
      <c r="BI90" s="38"/>
      <c r="BJ90" s="33"/>
      <c r="BK90" s="33"/>
      <c r="BL90" s="33"/>
      <c r="BM90" s="13"/>
      <c r="BN90" s="33">
        <v>96550</v>
      </c>
      <c r="BO90" s="33">
        <v>11586</v>
      </c>
      <c r="BP90" s="33">
        <v>96550</v>
      </c>
      <c r="BQ90" s="33"/>
      <c r="BR90" s="33">
        <v>43091</v>
      </c>
      <c r="BS90" s="13">
        <f t="shared" si="24"/>
        <v>247777</v>
      </c>
      <c r="BT90" s="33">
        <v>124091</v>
      </c>
      <c r="BU90" s="33">
        <v>71973</v>
      </c>
      <c r="BV90" s="33">
        <v>43091</v>
      </c>
      <c r="BW90" s="33"/>
      <c r="BX90" s="13">
        <f t="shared" si="25"/>
        <v>239155</v>
      </c>
      <c r="BY90" s="39">
        <v>250000</v>
      </c>
      <c r="BZ90" s="39"/>
      <c r="CA90" s="33"/>
      <c r="CB90" s="33"/>
      <c r="CC90" s="33"/>
      <c r="CD90" s="33"/>
      <c r="CE90" s="33"/>
      <c r="CF90" s="33"/>
      <c r="CG90" s="33"/>
      <c r="CH90" s="40"/>
      <c r="CI90" s="33"/>
      <c r="CJ90" s="14">
        <v>104256</v>
      </c>
      <c r="CK90" s="47">
        <v>189557</v>
      </c>
      <c r="CL90" s="33">
        <v>1895570</v>
      </c>
      <c r="CM90" s="33">
        <v>1895570</v>
      </c>
      <c r="CN90" s="47">
        <v>36015.83</v>
      </c>
      <c r="CO90" s="31"/>
      <c r="CP90" s="31"/>
      <c r="CQ90" s="31"/>
      <c r="CR90" s="31"/>
      <c r="CS90" s="31"/>
      <c r="CT90" s="31"/>
      <c r="CU90" s="59">
        <f t="shared" si="27"/>
        <v>2033946.26</v>
      </c>
      <c r="CW90" s="16">
        <v>1895570</v>
      </c>
      <c r="CX90" s="16">
        <f t="shared" si="28"/>
        <v>1895.57</v>
      </c>
      <c r="CY90" s="16">
        <f t="shared" si="29"/>
        <v>1893674.43</v>
      </c>
    </row>
    <row r="91" spans="1:103" s="16" customFormat="1" ht="15.75" x14ac:dyDescent="0.2">
      <c r="A91" s="58" t="s">
        <v>189</v>
      </c>
      <c r="B91" s="42">
        <v>1002772413</v>
      </c>
      <c r="C91" s="33" t="s">
        <v>247</v>
      </c>
      <c r="D91" s="43"/>
      <c r="E91" s="43" t="s">
        <v>58</v>
      </c>
      <c r="F91" s="41">
        <v>45934</v>
      </c>
      <c r="G91" s="41"/>
      <c r="H91" s="44" t="s">
        <v>257</v>
      </c>
      <c r="I91" s="51">
        <v>109.95</v>
      </c>
      <c r="J91" s="35">
        <v>975000</v>
      </c>
      <c r="K91" s="34"/>
      <c r="L91" s="35"/>
      <c r="M91" s="35"/>
      <c r="N91" s="35"/>
      <c r="O91" s="35"/>
      <c r="P91" s="35"/>
      <c r="Q91" s="35"/>
      <c r="R91" s="34"/>
      <c r="S91" s="35"/>
      <c r="T91" s="35">
        <v>3</v>
      </c>
      <c r="U91" s="35">
        <v>54511</v>
      </c>
      <c r="V91" s="34"/>
      <c r="W91" s="35"/>
      <c r="X91" s="35"/>
      <c r="Y91" s="35"/>
      <c r="Z91" s="35"/>
      <c r="AA91" s="35"/>
      <c r="AB91" s="35">
        <v>18</v>
      </c>
      <c r="AC91" s="35">
        <v>287182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  <c r="BE91" s="37"/>
      <c r="BF91" s="37"/>
      <c r="BG91" s="13">
        <f t="shared" si="23"/>
        <v>1316693</v>
      </c>
      <c r="BH91" s="38"/>
      <c r="BI91" s="38"/>
      <c r="BJ91" s="33"/>
      <c r="BK91" s="33"/>
      <c r="BL91" s="33"/>
      <c r="BM91" s="13"/>
      <c r="BN91" s="33">
        <v>120099</v>
      </c>
      <c r="BO91" s="33">
        <v>14412</v>
      </c>
      <c r="BP91" s="33">
        <v>120099</v>
      </c>
      <c r="BQ91" s="33"/>
      <c r="BR91" s="33">
        <v>54866</v>
      </c>
      <c r="BS91" s="13">
        <f t="shared" si="24"/>
        <v>309476</v>
      </c>
      <c r="BT91" s="33">
        <v>158003</v>
      </c>
      <c r="BU91" s="33">
        <v>91642</v>
      </c>
      <c r="BV91" s="33">
        <v>54866</v>
      </c>
      <c r="BW91" s="33"/>
      <c r="BX91" s="13">
        <f t="shared" si="25"/>
        <v>304511</v>
      </c>
      <c r="BY91" s="39">
        <v>100000</v>
      </c>
      <c r="BZ91" s="39"/>
      <c r="CA91" s="33"/>
      <c r="CB91" s="33"/>
      <c r="CC91" s="33"/>
      <c r="CD91" s="33"/>
      <c r="CE91" s="33"/>
      <c r="CF91" s="33"/>
      <c r="CG91" s="33"/>
      <c r="CH91" s="40"/>
      <c r="CI91" s="33"/>
      <c r="CJ91" s="14">
        <v>118537</v>
      </c>
      <c r="CK91" s="47">
        <v>215522.7</v>
      </c>
      <c r="CL91" s="33">
        <v>2155227</v>
      </c>
      <c r="CM91" s="33">
        <v>2155227</v>
      </c>
      <c r="CN91" s="47">
        <v>40949.313000000002</v>
      </c>
      <c r="CO91" s="31"/>
      <c r="CP91" s="31"/>
      <c r="CQ91" s="31"/>
      <c r="CR91" s="31"/>
      <c r="CS91" s="31"/>
      <c r="CT91" s="31"/>
      <c r="CU91" s="59">
        <f t="shared" si="27"/>
        <v>2312558.0860000001</v>
      </c>
      <c r="CW91" s="16">
        <v>2155227</v>
      </c>
      <c r="CX91" s="16">
        <f t="shared" si="28"/>
        <v>2155.2269999999999</v>
      </c>
      <c r="CY91" s="16">
        <f t="shared" si="29"/>
        <v>2153071.773</v>
      </c>
    </row>
    <row r="92" spans="1:103" s="16" customFormat="1" ht="15.75" x14ac:dyDescent="0.2">
      <c r="A92" s="58" t="s">
        <v>189</v>
      </c>
      <c r="B92" s="42">
        <v>1143984518</v>
      </c>
      <c r="C92" s="33" t="s">
        <v>248</v>
      </c>
      <c r="D92" s="43"/>
      <c r="E92" s="43" t="s">
        <v>58</v>
      </c>
      <c r="F92" s="41">
        <v>45762</v>
      </c>
      <c r="G92" s="41">
        <v>46121</v>
      </c>
      <c r="H92" s="44" t="s">
        <v>257</v>
      </c>
      <c r="I92" s="51">
        <v>65.97</v>
      </c>
      <c r="J92" s="35">
        <v>555000</v>
      </c>
      <c r="K92" s="34"/>
      <c r="L92" s="35"/>
      <c r="M92" s="35"/>
      <c r="N92" s="35"/>
      <c r="O92" s="35"/>
      <c r="P92" s="35">
        <v>5</v>
      </c>
      <c r="Q92" s="35">
        <v>14716</v>
      </c>
      <c r="R92" s="34">
        <v>105114</v>
      </c>
      <c r="S92" s="35">
        <v>10</v>
      </c>
      <c r="T92" s="35">
        <v>6</v>
      </c>
      <c r="U92" s="35">
        <v>103432</v>
      </c>
      <c r="V92" s="34"/>
      <c r="W92" s="35"/>
      <c r="X92" s="35">
        <v>7</v>
      </c>
      <c r="Y92" s="35">
        <v>150102</v>
      </c>
      <c r="Z92" s="35"/>
      <c r="AA92" s="35"/>
      <c r="AB92" s="35">
        <v>24</v>
      </c>
      <c r="AC92" s="35">
        <v>363273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  <c r="BE92" s="37"/>
      <c r="BF92" s="37"/>
      <c r="BG92" s="13">
        <f t="shared" si="23"/>
        <v>1186533</v>
      </c>
      <c r="BH92" s="38"/>
      <c r="BI92" s="38"/>
      <c r="BJ92" s="33"/>
      <c r="BK92" s="33"/>
      <c r="BL92" s="33"/>
      <c r="BM92" s="13"/>
      <c r="BN92" s="33">
        <v>113859</v>
      </c>
      <c r="BO92" s="33">
        <v>13663</v>
      </c>
      <c r="BP92" s="33">
        <v>113859</v>
      </c>
      <c r="BQ92" s="33"/>
      <c r="BR92" s="33">
        <v>53823</v>
      </c>
      <c r="BS92" s="13">
        <f t="shared" si="24"/>
        <v>295204</v>
      </c>
      <c r="BT92" s="33">
        <v>154997</v>
      </c>
      <c r="BU92" s="33">
        <v>89898</v>
      </c>
      <c r="BV92" s="33">
        <v>53823</v>
      </c>
      <c r="BW92" s="33"/>
      <c r="BX92" s="13">
        <f t="shared" si="25"/>
        <v>298718</v>
      </c>
      <c r="BY92" s="39">
        <v>45000</v>
      </c>
      <c r="BZ92" s="39"/>
      <c r="CA92" s="33"/>
      <c r="CB92" s="33"/>
      <c r="CC92" s="33"/>
      <c r="CD92" s="33"/>
      <c r="CE92" s="33"/>
      <c r="CF92" s="33"/>
      <c r="CG92" s="33"/>
      <c r="CH92" s="40"/>
      <c r="CI92" s="33"/>
      <c r="CJ92" s="14">
        <v>110290</v>
      </c>
      <c r="CK92" s="47">
        <v>200528.7</v>
      </c>
      <c r="CL92" s="33">
        <v>2005287</v>
      </c>
      <c r="CM92" s="33">
        <v>2005287</v>
      </c>
      <c r="CN92" s="47">
        <v>38100.453000000001</v>
      </c>
      <c r="CO92" s="31"/>
      <c r="CP92" s="31"/>
      <c r="CQ92" s="31"/>
      <c r="CR92" s="31"/>
      <c r="CS92" s="31"/>
      <c r="CT92" s="31"/>
      <c r="CU92" s="59">
        <f t="shared" si="27"/>
        <v>2151672.1660000002</v>
      </c>
      <c r="CW92" s="16">
        <v>2005287</v>
      </c>
      <c r="CX92" s="16">
        <f t="shared" si="28"/>
        <v>2005.287</v>
      </c>
      <c r="CY92" s="16">
        <f t="shared" si="29"/>
        <v>2003281.713</v>
      </c>
    </row>
    <row r="93" spans="1:103" s="16" customFormat="1" ht="15.75" x14ac:dyDescent="0.2">
      <c r="A93" s="58" t="s">
        <v>189</v>
      </c>
      <c r="B93" s="42">
        <v>79005167</v>
      </c>
      <c r="C93" s="33" t="s">
        <v>249</v>
      </c>
      <c r="D93" s="43"/>
      <c r="E93" s="43" t="s">
        <v>58</v>
      </c>
      <c r="F93" s="41">
        <v>45826</v>
      </c>
      <c r="G93" s="41"/>
      <c r="H93" s="44" t="s">
        <v>257</v>
      </c>
      <c r="I93" s="51">
        <v>109.95</v>
      </c>
      <c r="J93" s="35">
        <v>1000000</v>
      </c>
      <c r="K93" s="34"/>
      <c r="L93" s="35"/>
      <c r="M93" s="35"/>
      <c r="N93" s="35"/>
      <c r="O93" s="35"/>
      <c r="P93" s="35"/>
      <c r="Q93" s="35"/>
      <c r="R93" s="34">
        <v>102273</v>
      </c>
      <c r="S93" s="35">
        <v>9</v>
      </c>
      <c r="T93" s="35"/>
      <c r="U93" s="35"/>
      <c r="V93" s="34"/>
      <c r="W93" s="35"/>
      <c r="X93" s="35"/>
      <c r="Y93" s="35"/>
      <c r="Z93" s="35"/>
      <c r="AA93" s="35"/>
      <c r="AB93" s="35">
        <v>9</v>
      </c>
      <c r="AC93" s="35">
        <v>147273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  <c r="BE93" s="37"/>
      <c r="BF93" s="37"/>
      <c r="BG93" s="13">
        <f t="shared" si="23"/>
        <v>1147282</v>
      </c>
      <c r="BH93" s="38"/>
      <c r="BI93" s="38"/>
      <c r="BJ93" s="33"/>
      <c r="BK93" s="33"/>
      <c r="BL93" s="33"/>
      <c r="BM93" s="13"/>
      <c r="BN93" s="33">
        <v>114503</v>
      </c>
      <c r="BO93" s="33">
        <v>13741</v>
      </c>
      <c r="BP93" s="33">
        <v>114503</v>
      </c>
      <c r="BQ93" s="33"/>
      <c r="BR93" s="33">
        <v>52069</v>
      </c>
      <c r="BS93" s="13">
        <f t="shared" si="24"/>
        <v>294816</v>
      </c>
      <c r="BT93" s="33">
        <v>149946</v>
      </c>
      <c r="BU93" s="33">
        <v>86968</v>
      </c>
      <c r="BV93" s="33">
        <v>52069</v>
      </c>
      <c r="BW93" s="33"/>
      <c r="BX93" s="13">
        <f t="shared" si="25"/>
        <v>288983</v>
      </c>
      <c r="BY93" s="39"/>
      <c r="BZ93" s="39">
        <v>241753</v>
      </c>
      <c r="CA93" s="33"/>
      <c r="CB93" s="33"/>
      <c r="CC93" s="33"/>
      <c r="CD93" s="33"/>
      <c r="CE93" s="33"/>
      <c r="CF93" s="33"/>
      <c r="CG93" s="33"/>
      <c r="CH93" s="40"/>
      <c r="CI93" s="33"/>
      <c r="CJ93" s="14">
        <v>120980</v>
      </c>
      <c r="CK93" s="47">
        <v>219964.5</v>
      </c>
      <c r="CL93" s="33">
        <v>2199645</v>
      </c>
      <c r="CM93" s="33">
        <v>2199645</v>
      </c>
      <c r="CN93" s="47">
        <v>41793.254999999997</v>
      </c>
      <c r="CO93" s="31"/>
      <c r="CP93" s="31"/>
      <c r="CQ93" s="31"/>
      <c r="CR93" s="31"/>
      <c r="CS93" s="31"/>
      <c r="CT93" s="31"/>
      <c r="CU93" s="59">
        <f t="shared" si="27"/>
        <v>2360218.61</v>
      </c>
      <c r="CW93" s="16">
        <v>2199645</v>
      </c>
      <c r="CX93" s="16">
        <f t="shared" si="28"/>
        <v>2199.645</v>
      </c>
      <c r="CY93" s="16">
        <f t="shared" si="29"/>
        <v>2197445.355</v>
      </c>
    </row>
    <row r="94" spans="1:103" s="16" customFormat="1" ht="15.75" x14ac:dyDescent="0.2">
      <c r="A94" s="58" t="s">
        <v>189</v>
      </c>
      <c r="B94" s="42">
        <v>1065916060</v>
      </c>
      <c r="C94" s="33" t="s">
        <v>250</v>
      </c>
      <c r="D94" s="43"/>
      <c r="E94" s="43" t="s">
        <v>58</v>
      </c>
      <c r="F94" s="41">
        <v>45822</v>
      </c>
      <c r="G94" s="41">
        <v>46119</v>
      </c>
      <c r="H94" s="44" t="s">
        <v>257</v>
      </c>
      <c r="I94" s="51">
        <v>14.66</v>
      </c>
      <c r="J94" s="35">
        <v>200000</v>
      </c>
      <c r="K94" s="34"/>
      <c r="L94" s="35"/>
      <c r="M94" s="35"/>
      <c r="N94" s="35"/>
      <c r="O94" s="35"/>
      <c r="P94" s="35"/>
      <c r="Q94" s="35"/>
      <c r="R94" s="34">
        <v>119318</v>
      </c>
      <c r="S94" s="35">
        <v>7</v>
      </c>
      <c r="T94" s="35"/>
      <c r="U94" s="35"/>
      <c r="V94" s="34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>
        <v>36.65</v>
      </c>
      <c r="AW94" s="35">
        <v>500000</v>
      </c>
      <c r="AX94" s="35"/>
      <c r="AY94" s="35"/>
      <c r="AZ94" s="35"/>
      <c r="BA94" s="35"/>
      <c r="BB94" s="35"/>
      <c r="BC94" s="35"/>
      <c r="BD94" s="36"/>
      <c r="BE94" s="37"/>
      <c r="BF94" s="37"/>
      <c r="BG94" s="13">
        <f t="shared" si="23"/>
        <v>700007</v>
      </c>
      <c r="BH94" s="38"/>
      <c r="BI94" s="38"/>
      <c r="BJ94" s="33"/>
      <c r="BK94" s="33"/>
      <c r="BL94" s="33"/>
      <c r="BM94" s="13"/>
      <c r="BN94" s="33">
        <v>69658</v>
      </c>
      <c r="BO94" s="33">
        <v>8359</v>
      </c>
      <c r="BP94" s="33">
        <v>69658</v>
      </c>
      <c r="BQ94" s="33"/>
      <c r="BR94" s="33">
        <v>34970</v>
      </c>
      <c r="BS94" s="13">
        <f t="shared" si="24"/>
        <v>182645</v>
      </c>
      <c r="BT94" s="33">
        <v>100704</v>
      </c>
      <c r="BU94" s="33">
        <v>22225</v>
      </c>
      <c r="BV94" s="33">
        <v>34970</v>
      </c>
      <c r="BW94" s="33"/>
      <c r="BX94" s="13">
        <f t="shared" si="25"/>
        <v>157899</v>
      </c>
      <c r="BY94" s="39"/>
      <c r="BZ94" s="39"/>
      <c r="CA94" s="33"/>
      <c r="CB94" s="33"/>
      <c r="CC94" s="33"/>
      <c r="CD94" s="33"/>
      <c r="CE94" s="33"/>
      <c r="CF94" s="33"/>
      <c r="CG94" s="33"/>
      <c r="CH94" s="40"/>
      <c r="CI94" s="33"/>
      <c r="CJ94" s="14">
        <v>64615</v>
      </c>
      <c r="CK94" s="47">
        <v>117646.8</v>
      </c>
      <c r="CL94" s="33">
        <v>1176468</v>
      </c>
      <c r="CM94" s="33">
        <v>1176468</v>
      </c>
      <c r="CN94" s="47">
        <v>22352.892</v>
      </c>
      <c r="CO94" s="31"/>
      <c r="CP94" s="31"/>
      <c r="CQ94" s="31"/>
      <c r="CR94" s="31"/>
      <c r="CS94" s="31"/>
      <c r="CT94" s="31"/>
      <c r="CU94" s="59">
        <f t="shared" si="27"/>
        <v>1262259.4239999999</v>
      </c>
      <c r="CW94" s="16">
        <v>1176468</v>
      </c>
      <c r="CX94" s="16">
        <f t="shared" si="28"/>
        <v>1176.4680000000001</v>
      </c>
      <c r="CY94" s="16">
        <f t="shared" si="29"/>
        <v>1175291.5319999999</v>
      </c>
    </row>
    <row r="95" spans="1:103" s="16" customFormat="1" ht="15.75" x14ac:dyDescent="0.2">
      <c r="A95" s="58" t="s">
        <v>189</v>
      </c>
      <c r="B95" s="42">
        <v>1007778220</v>
      </c>
      <c r="C95" s="33" t="s">
        <v>251</v>
      </c>
      <c r="D95" s="43"/>
      <c r="E95" s="43" t="s">
        <v>58</v>
      </c>
      <c r="F95" s="41">
        <v>45896</v>
      </c>
      <c r="G95" s="41">
        <v>46113</v>
      </c>
      <c r="H95" s="44" t="s">
        <v>255</v>
      </c>
      <c r="I95" s="51">
        <v>7.33</v>
      </c>
      <c r="J95" s="35">
        <v>58364</v>
      </c>
      <c r="K95" s="34"/>
      <c r="L95" s="35"/>
      <c r="M95" s="35"/>
      <c r="N95" s="35"/>
      <c r="O95" s="35"/>
      <c r="P95" s="35"/>
      <c r="Q95" s="35"/>
      <c r="R95" s="34">
        <v>169122</v>
      </c>
      <c r="S95" s="35">
        <v>17</v>
      </c>
      <c r="T95" s="35"/>
      <c r="U95" s="35"/>
      <c r="V95" s="34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  <c r="BE95" s="37"/>
      <c r="BF95" s="37"/>
      <c r="BG95" s="13">
        <f t="shared" si="23"/>
        <v>58381</v>
      </c>
      <c r="BH95" s="38"/>
      <c r="BI95" s="38"/>
      <c r="BJ95" s="33"/>
      <c r="BK95" s="33"/>
      <c r="BL95" s="33"/>
      <c r="BM95" s="13"/>
      <c r="BN95" s="33">
        <v>19648</v>
      </c>
      <c r="BO95" s="33">
        <v>2358</v>
      </c>
      <c r="BP95" s="33">
        <v>19648</v>
      </c>
      <c r="BQ95" s="33"/>
      <c r="BR95" s="33">
        <v>9479</v>
      </c>
      <c r="BS95" s="13">
        <f t="shared" si="24"/>
        <v>51133</v>
      </c>
      <c r="BT95" s="33">
        <v>27299</v>
      </c>
      <c r="BU95" s="33">
        <v>5542</v>
      </c>
      <c r="BV95" s="33">
        <v>9479</v>
      </c>
      <c r="BW95" s="33"/>
      <c r="BX95" s="13">
        <f t="shared" si="25"/>
        <v>42320</v>
      </c>
      <c r="BY95" s="39"/>
      <c r="BZ95" s="39"/>
      <c r="CA95" s="33"/>
      <c r="CB95" s="33"/>
      <c r="CC95" s="33"/>
      <c r="CD95" s="33"/>
      <c r="CE95" s="33"/>
      <c r="CF95" s="33"/>
      <c r="CG95" s="33"/>
      <c r="CH95" s="40"/>
      <c r="CI95" s="33"/>
      <c r="CJ95" s="14">
        <v>18108</v>
      </c>
      <c r="CK95" s="47">
        <v>32924.200000000004</v>
      </c>
      <c r="CL95" s="33">
        <v>329242</v>
      </c>
      <c r="CM95" s="33">
        <v>329242</v>
      </c>
      <c r="CN95" s="47">
        <v>6255.598</v>
      </c>
      <c r="CO95" s="31"/>
      <c r="CP95" s="31"/>
      <c r="CQ95" s="31"/>
      <c r="CR95" s="31"/>
      <c r="CS95" s="31"/>
      <c r="CT95" s="31"/>
      <c r="CU95" s="59">
        <f t="shared" si="27"/>
        <v>353276.35599999997</v>
      </c>
      <c r="CW95" s="16">
        <v>329242</v>
      </c>
      <c r="CX95" s="16">
        <f t="shared" si="28"/>
        <v>329.24200000000002</v>
      </c>
      <c r="CY95" s="16">
        <f t="shared" si="29"/>
        <v>328912.75799999997</v>
      </c>
    </row>
    <row r="96" spans="1:103" s="16" customFormat="1" ht="15.75" x14ac:dyDescent="0.2">
      <c r="A96" s="58" t="s">
        <v>189</v>
      </c>
      <c r="B96" s="42">
        <v>14837406</v>
      </c>
      <c r="C96" s="33" t="s">
        <v>252</v>
      </c>
      <c r="D96" s="43"/>
      <c r="E96" s="43" t="s">
        <v>58</v>
      </c>
      <c r="F96" s="41">
        <v>45896</v>
      </c>
      <c r="G96" s="41"/>
      <c r="H96" s="44" t="s">
        <v>255</v>
      </c>
      <c r="I96" s="51">
        <v>109.95</v>
      </c>
      <c r="J96" s="35">
        <v>875453</v>
      </c>
      <c r="K96" s="34"/>
      <c r="L96" s="35"/>
      <c r="M96" s="35"/>
      <c r="N96" s="35"/>
      <c r="O96" s="35"/>
      <c r="P96" s="35"/>
      <c r="Q96" s="35"/>
      <c r="R96" s="34">
        <v>119380</v>
      </c>
      <c r="S96" s="35">
        <v>12</v>
      </c>
      <c r="T96" s="35"/>
      <c r="U96" s="35"/>
      <c r="V96" s="34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  <c r="BE96" s="37"/>
      <c r="BF96" s="37"/>
      <c r="BG96" s="13">
        <f t="shared" si="23"/>
        <v>875465</v>
      </c>
      <c r="BH96" s="38"/>
      <c r="BI96" s="38"/>
      <c r="BJ96" s="33"/>
      <c r="BK96" s="33"/>
      <c r="BL96" s="33"/>
      <c r="BM96" s="13"/>
      <c r="BN96" s="33">
        <v>93278</v>
      </c>
      <c r="BO96" s="33">
        <v>11194</v>
      </c>
      <c r="BP96" s="33">
        <v>93278</v>
      </c>
      <c r="BQ96" s="33"/>
      <c r="BR96" s="33">
        <v>41455</v>
      </c>
      <c r="BS96" s="13">
        <f t="shared" si="24"/>
        <v>239205</v>
      </c>
      <c r="BT96" s="33">
        <v>119380</v>
      </c>
      <c r="BU96" s="33">
        <v>24234</v>
      </c>
      <c r="BV96" s="33">
        <v>41455</v>
      </c>
      <c r="BW96" s="33"/>
      <c r="BX96" s="13">
        <f t="shared" si="25"/>
        <v>185069</v>
      </c>
      <c r="BY96" s="39">
        <v>35000</v>
      </c>
      <c r="BZ96" s="39"/>
      <c r="CA96" s="33"/>
      <c r="CB96" s="33"/>
      <c r="CC96" s="33"/>
      <c r="CD96" s="33"/>
      <c r="CE96" s="33"/>
      <c r="CF96" s="33"/>
      <c r="CG96" s="33"/>
      <c r="CH96" s="40"/>
      <c r="CI96" s="33"/>
      <c r="CJ96" s="14">
        <v>86826</v>
      </c>
      <c r="CK96" s="47">
        <v>157865.40000000002</v>
      </c>
      <c r="CL96" s="33">
        <v>1578654</v>
      </c>
      <c r="CM96" s="33">
        <v>1578654</v>
      </c>
      <c r="CN96" s="47">
        <v>29994.425999999999</v>
      </c>
      <c r="CO96" s="31"/>
      <c r="CP96" s="31"/>
      <c r="CQ96" s="31"/>
      <c r="CR96" s="31"/>
      <c r="CS96" s="31"/>
      <c r="CT96" s="31"/>
      <c r="CU96" s="59">
        <f t="shared" si="27"/>
        <v>1693895.7719999999</v>
      </c>
      <c r="CW96" s="16">
        <v>1578654</v>
      </c>
      <c r="CX96" s="16">
        <f t="shared" si="28"/>
        <v>1578.654</v>
      </c>
      <c r="CY96" s="16">
        <f t="shared" si="29"/>
        <v>1577075.3459999999</v>
      </c>
    </row>
    <row r="97" spans="1:103" s="16" customFormat="1" ht="15.75" x14ac:dyDescent="0.2">
      <c r="A97" s="58" t="s">
        <v>189</v>
      </c>
      <c r="B97" s="42">
        <v>1004251476</v>
      </c>
      <c r="C97" s="33" t="s">
        <v>253</v>
      </c>
      <c r="D97" s="43"/>
      <c r="E97" s="43" t="s">
        <v>58</v>
      </c>
      <c r="F97" s="41">
        <v>45915</v>
      </c>
      <c r="G97" s="41"/>
      <c r="H97" s="44" t="s">
        <v>256</v>
      </c>
      <c r="I97" s="51">
        <v>109.95</v>
      </c>
      <c r="J97" s="35">
        <v>1000000</v>
      </c>
      <c r="K97" s="34"/>
      <c r="L97" s="35"/>
      <c r="M97" s="35"/>
      <c r="N97" s="35"/>
      <c r="O97" s="35"/>
      <c r="P97" s="35"/>
      <c r="Q97" s="35"/>
      <c r="R97" s="34">
        <v>45455</v>
      </c>
      <c r="S97" s="35">
        <v>4</v>
      </c>
      <c r="T97" s="35"/>
      <c r="U97" s="35"/>
      <c r="V97" s="34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  <c r="BE97" s="37"/>
      <c r="BF97" s="37"/>
      <c r="BG97" s="13">
        <f t="shared" si="23"/>
        <v>1000004</v>
      </c>
      <c r="BH97" s="38"/>
      <c r="BI97" s="38"/>
      <c r="BJ97" s="33"/>
      <c r="BK97" s="33"/>
      <c r="BL97" s="33"/>
      <c r="BM97" s="13"/>
      <c r="BN97" s="33">
        <v>97497</v>
      </c>
      <c r="BO97" s="33">
        <v>11700</v>
      </c>
      <c r="BP97" s="33">
        <v>97497</v>
      </c>
      <c r="BQ97" s="33"/>
      <c r="BR97" s="33">
        <v>43564</v>
      </c>
      <c r="BS97" s="13">
        <f t="shared" si="24"/>
        <v>250258</v>
      </c>
      <c r="BT97" s="33">
        <v>125455</v>
      </c>
      <c r="BU97" s="33">
        <v>5457</v>
      </c>
      <c r="BV97" s="33">
        <v>43564</v>
      </c>
      <c r="BW97" s="33"/>
      <c r="BX97" s="13">
        <f t="shared" si="25"/>
        <v>174476</v>
      </c>
      <c r="BY97" s="39">
        <v>31553</v>
      </c>
      <c r="BZ97" s="39"/>
      <c r="CA97" s="33"/>
      <c r="CB97" s="33"/>
      <c r="CC97" s="33"/>
      <c r="CD97" s="33"/>
      <c r="CE97" s="33"/>
      <c r="CF97" s="33"/>
      <c r="CG97" s="33"/>
      <c r="CH97" s="40"/>
      <c r="CI97" s="33"/>
      <c r="CJ97" s="14">
        <v>89445</v>
      </c>
      <c r="CK97" s="47">
        <v>162628.90000000002</v>
      </c>
      <c r="CL97" s="33">
        <v>1626289</v>
      </c>
      <c r="CM97" s="33">
        <v>1626289</v>
      </c>
      <c r="CN97" s="47">
        <v>30899.490999999998</v>
      </c>
      <c r="CO97" s="31"/>
      <c r="CP97" s="31"/>
      <c r="CQ97" s="31"/>
      <c r="CR97" s="31"/>
      <c r="CS97" s="31"/>
      <c r="CT97" s="31"/>
      <c r="CU97" s="59">
        <f t="shared" si="27"/>
        <v>1745007.2019999998</v>
      </c>
      <c r="CW97" s="16">
        <v>1626289</v>
      </c>
      <c r="CX97" s="16">
        <f t="shared" si="28"/>
        <v>1626.289</v>
      </c>
      <c r="CY97" s="16">
        <f t="shared" si="29"/>
        <v>1624662.7109999999</v>
      </c>
    </row>
    <row r="98" spans="1:103" s="16" customFormat="1" ht="15.75" x14ac:dyDescent="0.2">
      <c r="A98" s="58" t="s">
        <v>189</v>
      </c>
      <c r="B98" s="70">
        <v>1061821687</v>
      </c>
      <c r="C98" s="71" t="s">
        <v>254</v>
      </c>
      <c r="D98" s="72"/>
      <c r="E98" s="72" t="s">
        <v>58</v>
      </c>
      <c r="F98" s="73">
        <v>45953</v>
      </c>
      <c r="G98" s="73"/>
      <c r="H98" s="74" t="s">
        <v>256</v>
      </c>
      <c r="I98" s="75">
        <v>109.95</v>
      </c>
      <c r="J98" s="76">
        <v>1000000</v>
      </c>
      <c r="K98" s="77"/>
      <c r="L98" s="76"/>
      <c r="M98" s="76"/>
      <c r="N98" s="76"/>
      <c r="O98" s="76"/>
      <c r="P98" s="76"/>
      <c r="Q98" s="76"/>
      <c r="R98" s="77"/>
      <c r="S98" s="76"/>
      <c r="T98" s="76"/>
      <c r="U98" s="76"/>
      <c r="V98" s="77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8"/>
      <c r="BE98" s="79"/>
      <c r="BF98" s="79"/>
      <c r="BG98" s="80">
        <f t="shared" si="23"/>
        <v>1000000</v>
      </c>
      <c r="BH98" s="81"/>
      <c r="BI98" s="81"/>
      <c r="BJ98" s="71"/>
      <c r="BK98" s="71"/>
      <c r="BL98" s="71"/>
      <c r="BM98" s="80"/>
      <c r="BN98" s="71">
        <v>93709</v>
      </c>
      <c r="BO98" s="71">
        <v>11245</v>
      </c>
      <c r="BP98" s="71">
        <v>93709</v>
      </c>
      <c r="BQ98" s="71"/>
      <c r="BR98" s="71">
        <v>41670</v>
      </c>
      <c r="BS98" s="80">
        <f t="shared" si="24"/>
        <v>240333</v>
      </c>
      <c r="BT98" s="71">
        <v>120000</v>
      </c>
      <c r="BU98" s="71">
        <v>5220</v>
      </c>
      <c r="BV98" s="71">
        <v>41670</v>
      </c>
      <c r="BW98" s="71"/>
      <c r="BX98" s="80">
        <f t="shared" si="25"/>
        <v>166890</v>
      </c>
      <c r="BY98" s="82">
        <v>75453</v>
      </c>
      <c r="BZ98" s="82"/>
      <c r="CA98" s="71"/>
      <c r="CB98" s="71"/>
      <c r="CC98" s="71"/>
      <c r="CD98" s="71"/>
      <c r="CE98" s="71"/>
      <c r="CF98" s="71"/>
      <c r="CG98" s="71"/>
      <c r="CH98" s="83"/>
      <c r="CI98" s="71"/>
      <c r="CJ98" s="84">
        <v>88397</v>
      </c>
      <c r="CK98" s="85">
        <v>160722.30000000002</v>
      </c>
      <c r="CL98" s="71">
        <v>1607223</v>
      </c>
      <c r="CM98" s="71">
        <v>1607223</v>
      </c>
      <c r="CN98" s="85">
        <v>30537.237000000001</v>
      </c>
      <c r="CO98" s="86"/>
      <c r="CP98" s="86"/>
      <c r="CQ98" s="86"/>
      <c r="CR98" s="86"/>
      <c r="CS98" s="86"/>
      <c r="CT98" s="86"/>
      <c r="CU98" s="87">
        <f t="shared" si="27"/>
        <v>1724550.014</v>
      </c>
      <c r="CW98" s="16">
        <v>1607223</v>
      </c>
      <c r="CX98" s="16">
        <f t="shared" si="28"/>
        <v>1607.223</v>
      </c>
      <c r="CY98" s="16">
        <f t="shared" si="29"/>
        <v>1605615.777</v>
      </c>
    </row>
  </sheetData>
  <sortState xmlns:xlrd2="http://schemas.microsoft.com/office/spreadsheetml/2017/richdata2" ref="A6:CV24">
    <sortCondition ref="C6:C24"/>
  </sortState>
  <mergeCells count="37">
    <mergeCell ref="CO4:CQ4"/>
    <mergeCell ref="I1:J1"/>
    <mergeCell ref="P1:Q1"/>
    <mergeCell ref="AN1:AO1"/>
    <mergeCell ref="AP1:AQ1"/>
    <mergeCell ref="BD3:BF3"/>
    <mergeCell ref="AL1:AM1"/>
    <mergeCell ref="AJ1:AK1"/>
    <mergeCell ref="R1:S1"/>
    <mergeCell ref="T1:U1"/>
    <mergeCell ref="AH1:AI1"/>
    <mergeCell ref="K1:L1"/>
    <mergeCell ref="CB4:CF4"/>
    <mergeCell ref="BB4:BC4"/>
    <mergeCell ref="BY4:CA4"/>
    <mergeCell ref="N4:O4"/>
    <mergeCell ref="AX4:AY4"/>
    <mergeCell ref="AZ4:BA4"/>
    <mergeCell ref="AN4:AO4"/>
    <mergeCell ref="AP4:AQ4"/>
    <mergeCell ref="AR4:AS4"/>
    <mergeCell ref="AV4:AW4"/>
    <mergeCell ref="AL4:AM4"/>
    <mergeCell ref="AT4:AU4"/>
    <mergeCell ref="AJ4:AK4"/>
    <mergeCell ref="I4:J4"/>
    <mergeCell ref="Z4:AA4"/>
    <mergeCell ref="AB4:AC4"/>
    <mergeCell ref="AD4:AE4"/>
    <mergeCell ref="AF4:AG4"/>
    <mergeCell ref="AH4:AI4"/>
    <mergeCell ref="K4:L4"/>
    <mergeCell ref="X4:Y4"/>
    <mergeCell ref="V4:W4"/>
    <mergeCell ref="T4:U4"/>
    <mergeCell ref="R4:S4"/>
    <mergeCell ref="P4:Q4"/>
  </mergeCells>
  <phoneticPr fontId="18" type="noConversion"/>
  <printOptions verticalCentered="1"/>
  <pageMargins left="0.78740157480314965" right="0.78740157480314965" top="0.39370078740157483" bottom="0.39370078740157483" header="0" footer="0"/>
  <pageSetup paperSize="5" scale="48" fitToWidth="0" orientation="landscape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NOMINA</dc:creator>
  <cp:lastModifiedBy>Mejoramiento Continuo</cp:lastModifiedBy>
  <dcterms:created xsi:type="dcterms:W3CDTF">2017-12-20T20:26:19Z</dcterms:created>
  <dcterms:modified xsi:type="dcterms:W3CDTF">2026-05-07T17:29:13Z</dcterms:modified>
</cp:coreProperties>
</file>